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Print_Titles" localSheetId="0">Feuille1!$3:$3</definedName>
    <definedName name="_xlnm.Print_Area" localSheetId="0">Feuille1!$A$1:$AJ$57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<sst xmlns="http://schemas.openxmlformats.org/spreadsheetml/2006/main" count="168" uniqueCount="168">
  <si>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</si>
  <si>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</si>
  <si>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</si>
  <si>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</si>
  <si>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</si>
  <si>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</si>
  <si>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</si>
  <si>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</si>
  <si>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</si>
  <si>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</si>
  <si>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</si>
  <si>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</si>
  <si>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</si>
  <si>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</si>
  <si>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</si>
  <si>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</si>
  <si>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</si>
  <si>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</si>
  <si>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</si>
  <si>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</si>
  <si>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</si>
  <si>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</si>
  <si>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</si>
  <si>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</si>
  <si>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</si>
  <si>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</si>
  <si>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</si>
  <si>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</si>
  <si>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</si>
  <si>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</si>
  <si>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 xml:space="preserve">14 mar 2026</t>
  </si>
  <si>
    <t xml:space="preserve">21 mar 2026</t>
  </si>
  <si>
    <t xml:space="preserve">28 mar 2026</t>
  </si>
  <si>
    <t xml:space="preserve">4 avr 2026</t>
  </si>
  <si>
    <t xml:space="preserve">11 avr 2026</t>
  </si>
  <si>
    <t xml:space="preserve">18 avr 2026</t>
  </si>
  <si>
    <t xml:space="preserve">25 avr 2026</t>
  </si>
  <si>
    <t xml:space="preserve">2 mai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</si>
  <si>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</si>
  <si>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</si>
  <si>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</si>
  <si>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</si>
  <si>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</si>
  <si>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</si>
  <si>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</si>
  <si>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</si>
  <si>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</si>
  <si>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</si>
  <si>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</si>
  <si>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</si>
  <si>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</si>
  <si>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</si>
  <si>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</si>
  <si>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</si>
  <si>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</si>
  <si>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</si>
  <si>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</si>
  <si>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</si>
  <si>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</si>
  <si>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CPU</t>
  </si>
  <si>
    <t xml:space="preserve">Intel i5 12400F</t>
  </si>
  <si>
    <t>https://www.amazon.fr/dp/B09NPJRDGD</t>
  </si>
  <si>
    <t xml:space="preserve">Intel Core Ultra 7 270K Plus</t>
  </si>
  <si>
    <t>https://www.amazon.fr/dp/B0GMLJCBBM</t>
  </si>
  <si>
    <t xml:space="preserve">AMD Ryzen 7 9800X3D</t>
  </si>
  <si>
    <t>https://www.amazon.fr/dp/B0DQ86KCP2</t>
  </si>
  <si>
    <t xml:space="preserve">AMD Ryzen 5 5600GT</t>
  </si>
  <si>
    <t>https://www.amazon.fr/gp/product/B0CQ4DTJYX/ref=ewc_pr_img_1?smid=A1C1Y4BSJHJ47D&amp;psc=1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</si>
  <si>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</si>
  <si>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</si>
  <si>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</si>
  <si>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</si>
  <si>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</si>
  <si>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</si>
  <si>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</si>
  <si>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</si>
  <si>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</si>
  <si>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</si>
  <si>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</si>
  <si>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</si>
  <si>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</si>
  <si>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</si>
  <si>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ASUS TUF Gaming GeForce RTX 5090 32GB GDDR7 OC Edition</t>
  </si>
  <si>
    <t>https://www.amazon.fr/dp/B0DTHWSR1X</t>
  </si>
  <si>
    <t xml:space="preserve">Gigabyte Radeon AI PRO R9700 32G</t>
  </si>
  <si>
    <t>https://www.amazon.fr/dp/B0FJ8XPXTM</t>
  </si>
  <si>
    <t xml:space="preserve">ASRock Intel Arc Pro B60 Creator 24GB</t>
  </si>
  <si>
    <t>https://www.materiel.net/produit/202601060101.html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</si>
  <si>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</si>
  <si>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</si>
  <si>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</si>
  <si>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</si>
  <si>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</si>
  <si>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https://www.amazon.fr/PNY-Carte-graphique-NVIDIA-Quadro/dp/B09S6RMJ8B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</si>
  <si>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</si>
  <si>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</si>
  <si>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</si>
  <si>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 xml:space="preserve">Portable Lenovo Ryzen 7 5825U 8 coeurs - DDR4 16Go - SSD 512Go - GPU intégré - 15,6" IPS FHD</t>
  </si>
  <si>
    <t>https://www.boulanger.com/ref/1233488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</si>
  <si>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</si>
  <si>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</si>
  <si>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</si>
  <si>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</si>
  <si>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</si>
  <si>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</si>
  <si>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</si>
  <si>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</si>
  <si>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</si>
  <si>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</si>
  <si>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</si>
  <si>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</si>
  <si>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</si>
  <si>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</si>
  <si>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</si>
  <si>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</si>
  <si>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</si>
  <si>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</si>
  <si>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</si>
  <si>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</si>
  <si>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</si>
  <si>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</si>
  <si>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</si>
  <si>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</si>
  <si>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</si>
  <si>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</si>
  <si>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</si>
  <si>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</si>
  <si>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</si>
  <si>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</si>
  <si>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</si>
  <si>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</si>
  <si>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</si>
  <si>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</si>
  <si>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</si>
  <si>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</si>
  <si>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</si>
  <si>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</si>
  <si>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</si>
  <si>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</si>
  <si>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</si>
  <si>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</si>
  <si>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</si>
  <si>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</si>
  <si>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</si>
  <si>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</si>
  <si>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</si>
  <si>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</si>
  <si>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</si>
  <si>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</si>
  <si>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</si>
  <si>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</si>
  <si>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</si>
  <si>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</si>
  <si>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</si>
  <si>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</si>
  <si>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</si>
  <si>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Keyboard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</si>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</sst>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u/>
      <sz val="11.000000"/>
      <color theme="10"/>
      <name val="Calibri"/>
    </font>
    <font>
      <sz val="12.00000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FFC000"/>
        <bgColor rgb="FFFFC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8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5" borderId="0" numFmtId="49" xfId="0" applyNumberFormat="1" applyFont="1" applyFill="1" applyAlignment="1">
      <alignment horizontal="center" vertical="center"/>
    </xf>
    <xf fontId="10" fillId="5" borderId="0" numFmtId="49" xfId="0" applyNumberFormat="1" applyFont="1" applyFill="1" applyAlignment="1">
      <alignment vertical="center" wrapText="1"/>
    </xf>
    <xf fontId="11" fillId="5" borderId="0" numFmtId="49" xfId="0" applyNumberFormat="1" applyFont="1" applyFill="1" applyAlignment="1">
      <alignment horizontal="right" vertical="center"/>
    </xf>
    <xf fontId="11" fillId="5" borderId="0" numFmtId="49" xfId="0" applyNumberFormat="1" applyFont="1" applyFill="1" applyAlignment="1">
      <alignment horizontal="center" vertical="center"/>
    </xf>
    <xf fontId="12" fillId="0" borderId="0" numFmtId="49" xfId="0" applyNumberFormat="1" applyFont="1" applyAlignment="1">
      <alignment horizontal="left" vertical="center" wrapText="1"/>
    </xf>
    <xf fontId="13" fillId="6" borderId="0" numFmtId="0" xfId="0" applyFont="1" applyFill="1" applyAlignment="1">
      <alignment horizontal="right" vertical="center"/>
      <protection locked="1"/>
    </xf>
    <xf fontId="13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5" fillId="8" borderId="0" numFmtId="2" xfId="0" applyNumberFormat="1" applyFont="1" applyFill="1" applyAlignment="1">
      <alignment horizontal="right" vertical="center"/>
      <protection locked="1"/>
    </xf>
    <xf fontId="3" fillId="9" borderId="0" numFmtId="2" xfId="0" applyNumberFormat="1" applyFont="1" applyFill="1" applyAlignment="1">
      <alignment horizontal="center" vertical="center"/>
      <protection locked="1"/>
    </xf>
    <xf fontId="3" fillId="9" borderId="0" numFmtId="2" xfId="0" applyNumberFormat="1" applyFont="1" applyFill="1" applyAlignment="1">
      <alignment horizontal="center" vertical="center"/>
    </xf>
    <xf fontId="3" fillId="9" borderId="0" numFmtId="10" xfId="0" applyNumberFormat="1" applyFont="1" applyFill="1" applyAlignment="1">
      <alignment horizontal="center" vertical="center"/>
    </xf>
    <xf fontId="14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10" borderId="0" numFmtId="49" xfId="0" applyNumberFormat="1" applyFont="1" applyFill="1" applyAlignment="1">
      <alignment horizontal="center" vertical="center"/>
    </xf>
    <xf fontId="4" fillId="10" borderId="0" numFmtId="49" xfId="0" applyNumberFormat="1" applyFont="1" applyFill="1" applyAlignment="1">
      <alignment vertical="center" wrapText="1"/>
    </xf>
    <xf fontId="13" fillId="10" borderId="0" numFmtId="2" xfId="0" applyNumberFormat="1" applyFont="1" applyFill="1" applyAlignment="1">
      <alignment horizontal="center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5" fillId="0" borderId="0" numFmtId="49" xfId="0" applyNumberFormat="1" applyFont="1" applyAlignment="1">
      <alignment vertical="center"/>
    </xf>
    <xf fontId="9" fillId="11" borderId="0" numFmtId="2" xfId="0" applyNumberFormat="1" applyFont="1" applyFill="1" applyAlignment="1">
      <alignment horizontal="right" vertical="center"/>
      <protection locked="1"/>
    </xf>
    <xf fontId="5" fillId="10" borderId="0" numFmtId="4" xfId="0" applyNumberFormat="1" applyFont="1" applyFill="1" applyAlignment="1">
      <alignment horizontal="right" vertical="center"/>
      <protection locked="1"/>
    </xf>
    <xf fontId="16" fillId="8" borderId="0" numFmtId="2" xfId="0" applyNumberFormat="1" applyFont="1" applyFill="1" applyAlignment="1">
      <alignment horizontal="right" vertical="center"/>
      <protection locked="1"/>
    </xf>
    <xf fontId="9" fillId="12" borderId="0" numFmtId="2" xfId="0" applyNumberFormat="1" applyFont="1" applyFill="1" applyAlignment="1">
      <alignment horizontal="right" vertical="center"/>
      <protection locked="1"/>
    </xf>
    <xf fontId="16" fillId="7" borderId="0" numFmtId="2" xfId="0" applyNumberFormat="1" applyFont="1" applyFill="1" applyAlignment="1">
      <alignment horizontal="right" vertical="center"/>
      <protection locked="1"/>
    </xf>
    <xf fontId="16" fillId="0" borderId="0" numFmtId="2" xfId="0" applyNumberFormat="1" applyFont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4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mazon.fr/dp/B07X19HT3S" TargetMode="External"/><Relationship  Id="rId10" Type="http://schemas.openxmlformats.org/officeDocument/2006/relationships/hyperlink" Target="https://www.amazon.fr/PNY-Carte-Graphique-VCG4070S12DFXPB1-GDDR6X/dp/B0D363JYTH" TargetMode="External"/><Relationship  Id="rId11" Type="http://schemas.openxmlformats.org/officeDocument/2006/relationships/hyperlink" Target="https://www.amazon.fr/Gigabyte-GeForce-WINDFORCE-Carte-Graphique/dp/B0DTGP2WMT" TargetMode="External"/><Relationship  Id="rId12" Type="http://schemas.openxmlformats.org/officeDocument/2006/relationships/hyperlink" Target="https://www.amazon.fr/PNY-Carte-Graphique-GEFORCE-Triple/dp/B0F59N58GV" TargetMode="External"/><Relationship  Id="rId13" Type="http://schemas.openxmlformats.org/officeDocument/2006/relationships/hyperlink" Target="https://www.amazon.fr/PNY-NVIDIA-Blackwell-Max-Q-Workstation/dp/B0FW4XQD4Z" TargetMode="External"/><Relationship  Id="rId14" Type="http://schemas.openxmlformats.org/officeDocument/2006/relationships/hyperlink" Target="https://www.amazon.fr/PNY-GeForce-Overclocked-Triple-Reflex/dp/B0DZCVQGG6" TargetMode="External"/><Relationship  Id="rId15" Type="http://schemas.openxmlformats.org/officeDocument/2006/relationships/hyperlink" Target="https://marketplace.nvidia.com/fr-fr/consumer/graphics-cards/nvidia-geforce-rtx-5090/" TargetMode="External"/><Relationship  Id="rId16" Type="http://schemas.openxmlformats.org/officeDocument/2006/relationships/hyperlink" Target="https://www.amazon.fr/dp/B0DTHWSR1X" TargetMode="External"/><Relationship  Id="rId17" Type="http://schemas.openxmlformats.org/officeDocument/2006/relationships/hyperlink" Target="https://www.amazon.fr/dp/B0FJ8XPXTM" TargetMode="External"/><Relationship  Id="rId18" Type="http://schemas.openxmlformats.org/officeDocument/2006/relationships/hyperlink" Target="https://www.materiel.net/produit/202601060101.html" TargetMode="External"/><Relationship  Id="rId19" Type="http://schemas.openxmlformats.org/officeDocument/2006/relationships/hyperlink" Target="https://www.amazon.fr/dp/B094NHTKQY" TargetMode="External"/><Relationship  Id="rId2" Type="http://schemas.openxmlformats.org/officeDocument/2006/relationships/hyperlink" Target="https://www.amazon.fr/dp/B0C7W8CGTD" TargetMode="External"/><Relationship  Id="rId20" Type="http://schemas.openxmlformats.org/officeDocument/2006/relationships/hyperlink" Target="https://www.amazon.fr/PNY-Professionnelle-Mini-DisplayPort-Ventilateur-Silencieux/dp/B09RQBL7JP" TargetMode="External"/><Relationship  Id="rId21" Type="http://schemas.openxmlformats.org/officeDocument/2006/relationships/hyperlink" Target="https://www.amazon.fr/PNY-Carte-graphique-NVIDIA-Quadro/dp/B09S6RMJ8B" TargetMode="External"/><Relationship  Id="rId22" Type="http://schemas.openxmlformats.org/officeDocument/2006/relationships/hyperlink" Target="https://www.boulanger.com/ref/1227946" TargetMode="External"/><Relationship  Id="rId23" Type="http://schemas.openxmlformats.org/officeDocument/2006/relationships/hyperlink" Target="https://www.boulanger.com/ref/1233488" TargetMode="External"/><Relationship  Id="rId24" Type="http://schemas.openxmlformats.org/officeDocument/2006/relationships/hyperlink" Target="https://www.amazon.fr/Seagate-Technology-ST16000NM002G-Enterprise-7200RPM/dp/B07TBG66PY" TargetMode="External"/><Relationship  Id="rId25" Type="http://schemas.openxmlformats.org/officeDocument/2006/relationships/hyperlink" Target="https://www.amazon.fr/Western-Digital-Gold-16To-sATA/dp/B089S33PR3" TargetMode="External"/><Relationship  Id="rId26" Type="http://schemas.openxmlformats.org/officeDocument/2006/relationships/hyperlink" Target="https://www.amazon.fr/dp/B0CWHF3CZ7" TargetMode="External"/><Relationship  Id="rId27" Type="http://schemas.openxmlformats.org/officeDocument/2006/relationships/hyperlink" Target="https://www.amazon.fr/dp/B0C4BHC4MJ/ref=sr_aod_dp_ttl?th=1" TargetMode="External"/><Relationship  Id="rId28" Type="http://schemas.openxmlformats.org/officeDocument/2006/relationships/hyperlink" Target="https://www.amazon.fr/dp/B0DC8VPSHV?th=1" TargetMode="External"/><Relationship  Id="rId29" Type="http://schemas.openxmlformats.org/officeDocument/2006/relationships/hyperlink" Target="https://www.amazon.fr/PNY-CS900-Pouces-Internal-Solid/dp/B07XZLN9KM" TargetMode="External"/><Relationship  Id="rId3" Type="http://schemas.openxmlformats.org/officeDocument/2006/relationships/hyperlink" Target="https://www.amazon.fr/dp/B0BLTG7TN6" TargetMode="External"/><Relationship  Id="rId30" Type="http://schemas.openxmlformats.org/officeDocument/2006/relationships/hyperlink" Target="https://www.amazon.fr/dp/B01N0TQPQB" TargetMode="External"/><Relationship  Id="rId31" Type="http://schemas.openxmlformats.org/officeDocument/2006/relationships/hyperlink" Target="https://www.amazon.fr/Kingston-SKC600-256G-Interne-Chiffrement/dp/B07ZDBZDR9" TargetMode="External"/><Relationship  Id="rId32" Type="http://schemas.openxmlformats.org/officeDocument/2006/relationships/hyperlink" Target="https://www.amazon.fr/Kingston-SKC600-512G-Interne-Chiffrement/dp/B07ZDBT15M" TargetMode="External"/><Relationship  Id="rId33" Type="http://schemas.openxmlformats.org/officeDocument/2006/relationships/hyperlink" Target="https://www.amazon.fr/Western-Digital-Rouge-SSD-SATA/dp/B07YFG3R5N" TargetMode="External"/><Relationship  Id="rId34" Type="http://schemas.openxmlformats.org/officeDocument/2006/relationships/hyperlink" Target="https://www.amazon.fr/SanDisk-Interne-Vitesse-Lecture-Ordinateur/dp/B0F4Y12GGN" TargetMode="External"/><Relationship  Id="rId35" Type="http://schemas.openxmlformats.org/officeDocument/2006/relationships/hyperlink" Target="https://www.amazon.fr/SanDisk-Ultra-SSD-jusqu%C3%A0-560/dp/B0B7VM4SRX" TargetMode="External"/><Relationship  Id="rId36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37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8" Type="http://schemas.openxmlformats.org/officeDocument/2006/relationships/hyperlink" Target="https://www.dell.com/fr-fr/shop/%C3%A9cran-4k-avec-port-usb-c-dell-27-plus-s2725qc/apd/210-bqws/moniteurs-et-accessoires-de-moniteur" TargetMode="External"/><Relationship  Id="rId39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4" Type="http://schemas.openxmlformats.org/officeDocument/2006/relationships/hyperlink" Target="https://www.amazon.fr/Kingston-M%C3%A9moire-dordinateur-Portable-KF556S40IBK2-64/dp/B0BRTJT5P2" TargetMode="External"/><Relationship  Id="rId40" Type="http://schemas.openxmlformats.org/officeDocument/2006/relationships/hyperlink" Target="https://www.amazon.fr/dp/B07GS6ZB7T" TargetMode="External"/><Relationship  Id="rId41" Type="http://schemas.openxmlformats.org/officeDocument/2006/relationships/hyperlink" Target="https://www.amazon.fr/dp/B00LI4O9EA" TargetMode="External"/><Relationship  Id="rId42" Type="http://schemas.openxmlformats.org/officeDocument/2006/relationships/hyperlink" Target="https://www.amazon.fr/dp/B0CDCL6FLC" TargetMode="External"/><Relationship  Id="rId43" Type="http://schemas.openxmlformats.org/officeDocument/2006/relationships/hyperlink" Target="https://www.amazon.fr/disposition-fran%C3%A7aise-homologation-m%C3%A9canisme-silencieuse/dp/B07Z1F6R2B" TargetMode="External"/><Relationship  Id="rId44" Type="http://schemas.openxmlformats.org/officeDocument/2006/relationships/hyperlink" Target="https://www.amazon.fr/dp/B0CK2FXYJ5" TargetMode="External"/><Relationship  Id="rId45" Type="http://schemas.openxmlformats.org/officeDocument/2006/relationships/hyperlink" Target="https://eco.ovhcloud.com/fr/rise/rise-1/" TargetMode="External"/><Relationship  Id="rId5" Type="http://schemas.openxmlformats.org/officeDocument/2006/relationships/hyperlink" Target="https://www.amazon.fr/ASUS-W680-ACE-LGA1700-4xDDR5-8xSATA/dp/B0BRYH3868" TargetMode="External"/><Relationship  Id="rId6" Type="http://schemas.openxmlformats.org/officeDocument/2006/relationships/hyperlink" Target="https://www.amazon.fr/dp/B09NPJRDGD" TargetMode="External"/><Relationship  Id="rId7" Type="http://schemas.openxmlformats.org/officeDocument/2006/relationships/hyperlink" Target="https://www.amazon.fr/dp/B0GMLJCBBM" TargetMode="External"/><Relationship  Id="rId8" Type="http://schemas.openxmlformats.org/officeDocument/2006/relationships/hyperlink" Target="https://www.amazon.fr/dp/B0DQ86KCP2" TargetMode="External"/><Relationship  Id="rId9" Type="http://schemas.openxmlformats.org/officeDocument/2006/relationships/hyperlink" Target="https://www.amazon.fr/gp/product/B0CQ4DTJYX/ref=ewc_pr_img_1?smid=A1C1Y4BSJHJ47D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3" topLeftCell="C4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29" style="1" width="12.7109375"/>
    <col customWidth="1" min="30" max="33" style="2" width="12.7109375"/>
    <col customWidth="1" min="34" max="34" style="2" width="14.140625"/>
    <col customWidth="1" min="35" max="36" style="2" width="12.7109375"/>
    <col customWidth="1" min="37" max="37" style="5" width="42.28125"/>
    <col min="38" max="16384" style="1" width="9.140625"/>
  </cols>
  <sheetData>
    <row r="1" ht="57.75" customHeight="1">
      <c r="A1" s="2"/>
      <c r="B1" s="6" t="s">
        <v>0</v>
      </c>
      <c r="N1" s="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7" t="s">
        <v>1</v>
      </c>
      <c r="AE1" s="7" t="s">
        <v>2</v>
      </c>
      <c r="AF1" s="7" t="s">
        <v>3</v>
      </c>
      <c r="AG1" s="7" t="s">
        <v>4</v>
      </c>
      <c r="AH1" s="7" t="s">
        <v>5</v>
      </c>
      <c r="AI1" s="7" t="s">
        <v>6</v>
      </c>
      <c r="AJ1" s="7" t="s">
        <v>7</v>
      </c>
      <c r="AK1" s="5"/>
    </row>
    <row r="2" ht="39.75" customHeight="1">
      <c r="A2" s="2"/>
      <c r="B2" s="8" t="s">
        <v>8</v>
      </c>
      <c r="N2" s="4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7"/>
      <c r="AE2" s="7"/>
      <c r="AF2" s="7"/>
      <c r="AG2" s="7"/>
      <c r="AH2" s="7"/>
      <c r="AI2" s="7"/>
      <c r="AJ2" s="7"/>
    </row>
    <row r="3" ht="18">
      <c r="A3" s="9" t="s">
        <v>9</v>
      </c>
      <c r="B3" s="10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2" t="s">
        <v>38</v>
      </c>
      <c r="AE3" s="12" t="s">
        <v>39</v>
      </c>
      <c r="AF3" s="12" t="s">
        <v>40</v>
      </c>
      <c r="AG3" s="12" t="s">
        <v>41</v>
      </c>
      <c r="AH3" s="12" t="s">
        <v>42</v>
      </c>
      <c r="AI3" s="12" t="s">
        <v>43</v>
      </c>
      <c r="AJ3" s="12" t="s">
        <v>44</v>
      </c>
      <c r="AK3" s="5" t="s">
        <v>45</v>
      </c>
    </row>
    <row r="4" ht="36">
      <c r="A4" s="2" t="s">
        <v>46</v>
      </c>
      <c r="B4" s="13" t="s">
        <v>47</v>
      </c>
      <c r="C4" s="14">
        <v>171.88</v>
      </c>
      <c r="D4" s="15"/>
      <c r="E4" s="15"/>
      <c r="F4" s="15"/>
      <c r="G4" s="16">
        <v>284</v>
      </c>
      <c r="H4" s="16">
        <v>311.12</v>
      </c>
      <c r="I4" s="16">
        <v>325.22000000000003</v>
      </c>
      <c r="J4" s="17">
        <v>353.94999999999999</v>
      </c>
      <c r="K4" s="17">
        <v>341.58999999999997</v>
      </c>
      <c r="L4" s="17">
        <v>341.57999999999998</v>
      </c>
      <c r="M4" s="16" t="s">
        <v>48</v>
      </c>
      <c r="N4" s="17">
        <v>321.14999999999998</v>
      </c>
      <c r="O4" s="17">
        <v>362.83999999999997</v>
      </c>
      <c r="P4" s="17">
        <v>367.56</v>
      </c>
      <c r="Q4" s="17">
        <v>367.56</v>
      </c>
      <c r="R4" s="17">
        <v>366.89999999999998</v>
      </c>
      <c r="S4" s="17">
        <v>366.26999999999998</v>
      </c>
      <c r="T4" s="17">
        <v>366.26999999999998</v>
      </c>
      <c r="U4" s="17">
        <v>366.26999999999998</v>
      </c>
      <c r="V4" s="17">
        <v>366.26999999999998</v>
      </c>
      <c r="W4" s="17">
        <v>370.38999999999999</v>
      </c>
      <c r="X4" s="18">
        <v>415.97000000000003</v>
      </c>
      <c r="Y4" s="18">
        <v>418.17000000000002</v>
      </c>
      <c r="Z4" s="17">
        <v>397.13</v>
      </c>
      <c r="AA4" s="18">
        <v>450.54000000000002</v>
      </c>
      <c r="AB4" s="17">
        <v>409.94999999999999</v>
      </c>
      <c r="AC4" s="18">
        <v>450.54000000000002</v>
      </c>
      <c r="AD4" s="19">
        <f>MIN(C4:AC4)</f>
        <v>171.88</v>
      </c>
      <c r="AE4" s="20">
        <f>MAX(C4:AC4)</f>
        <v>450.54000000000002</v>
      </c>
      <c r="AF4" s="20">
        <f>AVERAGE(C4:AC4)</f>
        <v>360.5704347826088</v>
      </c>
      <c r="AG4" s="20">
        <f>AVERAGE(Q4:AC4)</f>
        <v>393.24846153846153</v>
      </c>
      <c r="AH4" s="21">
        <f>(AG4/AF4)-1</f>
        <v>9.0628691660631144e-002</v>
      </c>
      <c r="AI4" s="21">
        <f>(AG4/AD4)-1</f>
        <v>1.2879244911476699</v>
      </c>
      <c r="AJ4" s="21">
        <f>(AE4/AD4)-1</f>
        <v>1.6212473818943449</v>
      </c>
      <c r="AK4" s="22" t="s">
        <v>49</v>
      </c>
      <c r="AL4" s="23">
        <f>C2*1</f>
        <v>0</v>
      </c>
    </row>
    <row r="5" ht="36">
      <c r="A5" s="2" t="s">
        <v>46</v>
      </c>
      <c r="B5" s="13" t="s">
        <v>50</v>
      </c>
      <c r="C5" s="15"/>
      <c r="D5" s="24">
        <v>200.47999999999999</v>
      </c>
      <c r="E5" s="15"/>
      <c r="F5" s="15"/>
      <c r="G5" s="16">
        <v>686</v>
      </c>
      <c r="H5" s="16" t="s">
        <v>48</v>
      </c>
      <c r="I5" s="16">
        <v>613.99000000000001</v>
      </c>
      <c r="J5" s="17">
        <v>851.53999999999996</v>
      </c>
      <c r="K5" s="17">
        <v>846.99000000000001</v>
      </c>
      <c r="L5" s="17">
        <v>861.65999999999997</v>
      </c>
      <c r="M5" s="17">
        <v>825.99000000000001</v>
      </c>
      <c r="N5" s="17">
        <v>823.84000000000003</v>
      </c>
      <c r="O5" s="17">
        <v>823.84000000000003</v>
      </c>
      <c r="P5" s="17">
        <v>823.84000000000003</v>
      </c>
      <c r="Q5" s="17">
        <v>823.84000000000003</v>
      </c>
      <c r="R5" s="17">
        <v>823.84000000000003</v>
      </c>
      <c r="S5" s="17">
        <v>823.84000000000003</v>
      </c>
      <c r="T5" s="17">
        <v>823.84000000000003</v>
      </c>
      <c r="U5" s="17">
        <v>823.84000000000003</v>
      </c>
      <c r="V5" s="17">
        <v>978.75</v>
      </c>
      <c r="W5" s="17">
        <v>978.75</v>
      </c>
      <c r="X5" s="17">
        <v>978.75</v>
      </c>
      <c r="Y5" s="17">
        <v>978.75</v>
      </c>
      <c r="Z5" s="17">
        <v>978.75</v>
      </c>
      <c r="AA5" s="17">
        <v>978.75</v>
      </c>
      <c r="AB5" s="17">
        <v>978.75</v>
      </c>
      <c r="AC5" s="17">
        <v>978.75</v>
      </c>
      <c r="AD5" s="19">
        <f>MIN(C5:AC5)</f>
        <v>200.47999999999999</v>
      </c>
      <c r="AE5" s="20">
        <f>MAX(C5:AC5)</f>
        <v>978.75</v>
      </c>
      <c r="AF5" s="20">
        <f>AVERAGE(C5:AC5)</f>
        <v>839.45086956521754</v>
      </c>
      <c r="AG5" s="20">
        <f>AVERAGE(Q5:AC5)</f>
        <v>919.16923076923081</v>
      </c>
      <c r="AH5" s="21">
        <f>(AG5/AF5)-1</f>
        <v>9.4964892043416738e-002</v>
      </c>
      <c r="AI5" s="21">
        <f>(AG5/AD5)-1</f>
        <v>3.5848425317699064</v>
      </c>
      <c r="AJ5" s="21">
        <f>(AE5/AD5)-1</f>
        <v>3.8820331205107745</v>
      </c>
      <c r="AK5" s="22" t="s">
        <v>51</v>
      </c>
    </row>
    <row r="6" ht="36">
      <c r="A6" s="25" t="s">
        <v>46</v>
      </c>
      <c r="B6" s="26" t="s">
        <v>52</v>
      </c>
      <c r="C6" s="27"/>
      <c r="D6" s="24">
        <v>284.13</v>
      </c>
      <c r="E6" s="27"/>
      <c r="F6" s="27"/>
      <c r="G6" s="28">
        <v>403.11000000000001</v>
      </c>
      <c r="H6" s="28">
        <v>325.23000000000002</v>
      </c>
      <c r="I6" s="28">
        <v>647.89999999999998</v>
      </c>
      <c r="J6" s="17">
        <v>589</v>
      </c>
      <c r="K6" s="17">
        <v>700</v>
      </c>
      <c r="L6" s="17">
        <v>670</v>
      </c>
      <c r="M6" s="17">
        <v>647</v>
      </c>
      <c r="N6" s="17">
        <v>598.5</v>
      </c>
      <c r="O6" s="17">
        <v>612</v>
      </c>
      <c r="P6" s="17">
        <v>608</v>
      </c>
      <c r="Q6" s="17">
        <v>618.79999999999995</v>
      </c>
      <c r="R6" s="17">
        <v>614.99000000000001</v>
      </c>
      <c r="S6" s="17">
        <v>655.23000000000002</v>
      </c>
      <c r="T6" s="17">
        <v>639</v>
      </c>
      <c r="U6" s="17">
        <v>640</v>
      </c>
      <c r="V6" s="17">
        <v>696.10000000000002</v>
      </c>
      <c r="W6" s="17">
        <v>710</v>
      </c>
      <c r="X6" s="18">
        <v>717.78999999999996</v>
      </c>
      <c r="Y6" s="17">
        <v>709.99000000000001</v>
      </c>
      <c r="Z6" s="17">
        <v>709.99000000000001</v>
      </c>
      <c r="AA6" s="17">
        <v>702.97000000000003</v>
      </c>
      <c r="AB6" s="17">
        <v>703</v>
      </c>
      <c r="AC6" s="17">
        <v>703</v>
      </c>
      <c r="AD6" s="19">
        <f>MIN(C6:AC6)</f>
        <v>284.13</v>
      </c>
      <c r="AE6" s="20">
        <f>MAX(C6:AC6)</f>
        <v>717.78999999999996</v>
      </c>
      <c r="AF6" s="20">
        <f>AVERAGE(C6:AC6)</f>
        <v>621.07208333333324</v>
      </c>
      <c r="AG6" s="20">
        <f>AVERAGE(Q6:AC6)</f>
        <v>678.5276923076924</v>
      </c>
      <c r="AH6" s="21">
        <f>(AG6/AF6)-1</f>
        <v>9.2510371205209108e-002</v>
      </c>
      <c r="AI6" s="21">
        <f>(AG6/AD6)-1</f>
        <v>1.3880888758937542</v>
      </c>
      <c r="AJ6" s="21">
        <f>(AE6/AD6)-1</f>
        <v>1.5262731848097699</v>
      </c>
      <c r="AK6" s="22" t="s">
        <v>53</v>
      </c>
    </row>
    <row r="7" ht="36">
      <c r="A7" s="2" t="s">
        <v>46</v>
      </c>
      <c r="B7" s="3" t="s">
        <v>54</v>
      </c>
      <c r="C7" s="15"/>
      <c r="D7" s="15"/>
      <c r="E7" s="15"/>
      <c r="F7" s="15"/>
      <c r="G7" s="15"/>
      <c r="H7" s="15"/>
      <c r="I7" s="16">
        <v>685.71000000000004</v>
      </c>
      <c r="J7" s="17">
        <v>746.96000000000004</v>
      </c>
      <c r="K7" s="17">
        <v>734.78999999999996</v>
      </c>
      <c r="L7" s="17">
        <v>746.97000000000003</v>
      </c>
      <c r="M7" s="17">
        <v>804.22000000000003</v>
      </c>
      <c r="N7" s="17">
        <v>783.76999999999998</v>
      </c>
      <c r="O7" s="17">
        <v>731.50999999999999</v>
      </c>
      <c r="P7" s="18">
        <v>863.05999999999995</v>
      </c>
      <c r="Q7" s="18">
        <v>863.60000000000002</v>
      </c>
      <c r="R7" s="18">
        <v>822.25</v>
      </c>
      <c r="S7" s="17">
        <v>794.32000000000005</v>
      </c>
      <c r="T7" s="17">
        <v>749.99000000000001</v>
      </c>
      <c r="U7" s="17">
        <v>783.70000000000005</v>
      </c>
      <c r="V7" s="17">
        <v>807.03999999999996</v>
      </c>
      <c r="W7" s="18">
        <v>824.09000000000003</v>
      </c>
      <c r="X7" s="18">
        <v>827.74000000000001</v>
      </c>
      <c r="Y7" s="18">
        <v>824.50999999999999</v>
      </c>
      <c r="Z7" s="17">
        <v>796.15999999999997</v>
      </c>
      <c r="AA7" s="18">
        <v>813.62</v>
      </c>
      <c r="AB7" s="18">
        <v>887.78999999999996</v>
      </c>
      <c r="AC7" s="17">
        <v>795.28999999999996</v>
      </c>
      <c r="AD7" s="19">
        <f>MIN(C7:AC7)</f>
        <v>685.71000000000004</v>
      </c>
      <c r="AE7" s="20">
        <f>MAX(C7:AC7)</f>
        <v>887.78999999999996</v>
      </c>
      <c r="AF7" s="20">
        <f>AVERAGE(C7:AC7)</f>
        <v>794.62333333333333</v>
      </c>
      <c r="AG7" s="20">
        <f>AVERAGE(Q7:AC7)</f>
        <v>814.62307692307706</v>
      </c>
      <c r="AH7" s="21">
        <f>(AG7/AF7)-1</f>
        <v>2.5168835032628012e-002</v>
      </c>
      <c r="AI7" s="21">
        <f>(AG7/AD7)-1</f>
        <v>0.18799941217581351</v>
      </c>
      <c r="AJ7" s="21">
        <f>(AE7/AD7)-1</f>
        <v>0.29470184188651172</v>
      </c>
      <c r="AK7" s="22" t="s">
        <v>55</v>
      </c>
    </row>
    <row r="8" ht="18">
      <c r="A8" s="2" t="s">
        <v>56</v>
      </c>
      <c r="B8" s="3" t="s">
        <v>57</v>
      </c>
      <c r="C8" s="15"/>
      <c r="D8" s="16">
        <v>623.12</v>
      </c>
      <c r="E8" s="15"/>
      <c r="F8" s="15"/>
      <c r="G8" s="16">
        <v>549.98000000000002</v>
      </c>
      <c r="H8" s="16">
        <v>550.98000000000002</v>
      </c>
      <c r="I8" s="16">
        <v>550.98000000000002</v>
      </c>
      <c r="J8" s="24">
        <v>546.98000000000002</v>
      </c>
      <c r="K8" s="16">
        <v>552.98000000000002</v>
      </c>
      <c r="L8" s="16">
        <v>553.98000000000002</v>
      </c>
      <c r="M8" s="16">
        <v>553.98000000000002</v>
      </c>
      <c r="N8" s="16">
        <v>553.98000000000002</v>
      </c>
      <c r="O8" s="16">
        <v>567.98000000000002</v>
      </c>
      <c r="P8" s="16">
        <v>567.98000000000002</v>
      </c>
      <c r="Q8" s="16">
        <v>554.98000000000002</v>
      </c>
      <c r="R8" s="17">
        <v>575.98000000000002</v>
      </c>
      <c r="S8" s="24">
        <v>479</v>
      </c>
      <c r="T8" s="24">
        <v>465</v>
      </c>
      <c r="U8" s="17">
        <v>573.98000000000002</v>
      </c>
      <c r="V8" s="17">
        <v>573.98000000000002</v>
      </c>
      <c r="W8" s="17">
        <v>552.98000000000002</v>
      </c>
      <c r="X8" s="17">
        <v>555.91999999999996</v>
      </c>
      <c r="Y8" s="17">
        <v>547.98000000000002</v>
      </c>
      <c r="Z8" s="17">
        <v>547.98000000000002</v>
      </c>
      <c r="AA8" s="17">
        <v>574.46000000000004</v>
      </c>
      <c r="AB8" s="17">
        <v>556.89999999999998</v>
      </c>
      <c r="AC8" s="17">
        <v>556.89999999999998</v>
      </c>
      <c r="AD8" s="19">
        <f>MIN(C8:AC8)</f>
        <v>465</v>
      </c>
      <c r="AE8" s="20">
        <f>MAX(C8:AC8)</f>
        <v>623.12</v>
      </c>
      <c r="AF8" s="20">
        <f>AVERAGE(C8:AC8)</f>
        <v>553.70666666666648</v>
      </c>
      <c r="AG8" s="20">
        <f>AVERAGE(Q8:AC8)</f>
        <v>547.38769230769219</v>
      </c>
      <c r="AH8" s="21">
        <f>(AG8/AF8)-1</f>
        <v>-1.1412133426196069e-002</v>
      </c>
      <c r="AI8" s="21">
        <f>(AG8/AD8)-1</f>
        <v>0.17717783291976819</v>
      </c>
      <c r="AJ8" s="21">
        <f>(AE8/AD8)-1</f>
        <v>0.34004301075268817</v>
      </c>
      <c r="AK8" s="22" t="s">
        <v>58</v>
      </c>
      <c r="AL8" s="1"/>
    </row>
    <row r="9" ht="18">
      <c r="A9" s="2" t="s">
        <v>59</v>
      </c>
      <c r="B9" s="3" t="s">
        <v>60</v>
      </c>
      <c r="C9" s="15"/>
      <c r="D9" s="16"/>
      <c r="E9" s="15"/>
      <c r="F9" s="15"/>
      <c r="G9" s="24">
        <v>122</v>
      </c>
      <c r="H9" s="24">
        <v>122</v>
      </c>
      <c r="I9" s="24">
        <v>122</v>
      </c>
      <c r="J9" s="24">
        <v>122</v>
      </c>
      <c r="K9" s="24">
        <v>122</v>
      </c>
      <c r="L9" s="24">
        <v>122</v>
      </c>
      <c r="M9" s="24">
        <v>122</v>
      </c>
      <c r="N9" s="24">
        <v>122</v>
      </c>
      <c r="O9" s="24">
        <v>122</v>
      </c>
      <c r="P9" s="24">
        <v>122</v>
      </c>
      <c r="Q9" s="24">
        <v>122</v>
      </c>
      <c r="R9" s="24">
        <v>122</v>
      </c>
      <c r="S9" s="24">
        <v>122</v>
      </c>
      <c r="T9" s="24">
        <v>122</v>
      </c>
      <c r="U9" s="24">
        <v>122</v>
      </c>
      <c r="V9" s="24">
        <v>122</v>
      </c>
      <c r="W9" s="24">
        <v>122</v>
      </c>
      <c r="X9" s="17">
        <v>157</v>
      </c>
      <c r="Y9" s="17">
        <v>157</v>
      </c>
      <c r="Z9" s="17">
        <v>157</v>
      </c>
      <c r="AA9" s="17">
        <v>157</v>
      </c>
      <c r="AB9" s="17">
        <v>157</v>
      </c>
      <c r="AC9" s="17">
        <v>169</v>
      </c>
      <c r="AD9" s="19">
        <f>MIN(C9:AC9)</f>
        <v>122</v>
      </c>
      <c r="AE9" s="20">
        <f>MAX(C9:AC9)</f>
        <v>169</v>
      </c>
      <c r="AF9" s="20">
        <f>AVERAGE(C9:AC9)</f>
        <v>131.65217391304347</v>
      </c>
      <c r="AG9" s="20">
        <f>AVERAGE(Q9:AC9)</f>
        <v>139.07692307692307</v>
      </c>
      <c r="AH9" s="21">
        <f>(AG9/AF9)-1</f>
        <v>5.6396707651661382e-002</v>
      </c>
      <c r="AI9" s="21">
        <f>(AG9/AD9)-1</f>
        <v>0.13997477931904156</v>
      </c>
      <c r="AJ9" s="21">
        <f>(AE9/AD9)-1</f>
        <v>0.38524590163934436</v>
      </c>
      <c r="AK9" s="29" t="s">
        <v>61</v>
      </c>
    </row>
    <row r="10" ht="18">
      <c r="A10" s="2" t="s">
        <v>59</v>
      </c>
      <c r="B10" s="3" t="s">
        <v>62</v>
      </c>
      <c r="C10" s="15"/>
      <c r="D10" s="16"/>
      <c r="E10" s="15"/>
      <c r="F10" s="15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>
        <v>349</v>
      </c>
      <c r="AC10" s="16">
        <v>349</v>
      </c>
      <c r="AD10" s="19">
        <f>MIN(C10:AC10)</f>
        <v>349</v>
      </c>
      <c r="AE10" s="20">
        <f>MAX(C10:AC10)</f>
        <v>349</v>
      </c>
      <c r="AF10" s="20">
        <f>AVERAGE(C10:AC10)</f>
        <v>349</v>
      </c>
      <c r="AG10" s="20">
        <f>AVERAGE(Q10:AC10)</f>
        <v>349</v>
      </c>
      <c r="AH10" s="21">
        <f>(AG10/AF10)-1</f>
        <v>0</v>
      </c>
      <c r="AI10" s="21">
        <f>(AG10/AD10)-1</f>
        <v>0</v>
      </c>
      <c r="AJ10" s="21">
        <f>(AE10/AD10)-1</f>
        <v>0</v>
      </c>
      <c r="AK10" s="29" t="s">
        <v>63</v>
      </c>
    </row>
    <row r="11" ht="18">
      <c r="A11" s="2" t="s">
        <v>59</v>
      </c>
      <c r="B11" s="3" t="s">
        <v>64</v>
      </c>
      <c r="C11" s="15"/>
      <c r="D11" s="16"/>
      <c r="E11" s="15"/>
      <c r="F11" s="15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>
        <v>515</v>
      </c>
      <c r="AC11" s="16">
        <v>467</v>
      </c>
      <c r="AD11" s="19">
        <f>MIN(C11:AC11)</f>
        <v>467</v>
      </c>
      <c r="AE11" s="20">
        <f>MAX(C11:AC11)</f>
        <v>515</v>
      </c>
      <c r="AF11" s="20">
        <f>AVERAGE(C11:AC11)</f>
        <v>491</v>
      </c>
      <c r="AG11" s="20">
        <f>AVERAGE(Q11:AC11)</f>
        <v>491</v>
      </c>
      <c r="AH11" s="21">
        <f>(AG11/AF11)-1</f>
        <v>0</v>
      </c>
      <c r="AI11" s="21">
        <f>(AG11/AD11)-1</f>
        <v>5.1391862955032064e-002</v>
      </c>
      <c r="AJ11" s="21">
        <f>(AE11/AD11)-1</f>
        <v>0.10278372591006435</v>
      </c>
      <c r="AK11" s="29" t="s">
        <v>65</v>
      </c>
    </row>
    <row r="12" ht="18">
      <c r="A12" s="2" t="s">
        <v>59</v>
      </c>
      <c r="B12" s="3" t="s">
        <v>66</v>
      </c>
      <c r="C12" s="15"/>
      <c r="D12" s="16"/>
      <c r="E12" s="15"/>
      <c r="F12" s="15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>
        <v>173.84</v>
      </c>
      <c r="AC12" s="16">
        <v>179.88999999999999</v>
      </c>
      <c r="AD12" s="19">
        <f>MIN(C12:AC12)</f>
        <v>173.84</v>
      </c>
      <c r="AE12" s="20">
        <f>MAX(C12:AC12)</f>
        <v>179.88999999999999</v>
      </c>
      <c r="AF12" s="20">
        <f>AVERAGE(C12:AC12)</f>
        <v>176.86500000000001</v>
      </c>
      <c r="AG12" s="20">
        <f>AVERAGE(Q12:AC12)</f>
        <v>176.86500000000001</v>
      </c>
      <c r="AH12" s="21">
        <f>(AG12/AF12)-1</f>
        <v>0</v>
      </c>
      <c r="AI12" s="21">
        <f>(AG12/AD12)-1</f>
        <v>1.7401058444546758e-002</v>
      </c>
      <c r="AJ12" s="21">
        <f>(AE12/AD12)-1</f>
        <v>3.4802116889093293e-002</v>
      </c>
      <c r="AK12" s="29" t="s">
        <v>67</v>
      </c>
    </row>
    <row r="13" ht="36">
      <c r="A13" s="25" t="s">
        <v>68</v>
      </c>
      <c r="B13" s="26" t="s">
        <v>69</v>
      </c>
      <c r="C13" s="27"/>
      <c r="D13" s="24">
        <v>684.98000000000002</v>
      </c>
      <c r="E13" s="27"/>
      <c r="F13" s="27"/>
      <c r="G13" s="28">
        <v>839</v>
      </c>
      <c r="H13" s="28">
        <v>857.05999999999995</v>
      </c>
      <c r="I13" s="28">
        <v>826.44000000000005</v>
      </c>
      <c r="J13" s="28">
        <v>853.54999999999995</v>
      </c>
      <c r="K13" s="28">
        <v>853.20000000000005</v>
      </c>
      <c r="L13" s="28">
        <v>940.37</v>
      </c>
      <c r="M13" s="28">
        <v>928.10000000000002</v>
      </c>
      <c r="N13" s="28">
        <v>1084.8299999999999</v>
      </c>
      <c r="O13" s="28">
        <v>1084.8299999999999</v>
      </c>
      <c r="P13" s="16" t="s">
        <v>48</v>
      </c>
      <c r="Q13" s="16" t="s">
        <v>48</v>
      </c>
      <c r="R13" s="16" t="s">
        <v>48</v>
      </c>
      <c r="S13" s="30">
        <v>1426.5699999999999</v>
      </c>
      <c r="T13" s="16" t="s">
        <v>48</v>
      </c>
      <c r="U13" s="24">
        <v>592.17999999999995</v>
      </c>
      <c r="V13" s="24">
        <v>606.50999999999999</v>
      </c>
      <c r="W13" s="24">
        <v>608.62</v>
      </c>
      <c r="X13" s="24">
        <v>623.23000000000002</v>
      </c>
      <c r="Y13" s="16" t="s">
        <v>48</v>
      </c>
      <c r="Z13" s="16" t="s">
        <v>48</v>
      </c>
      <c r="AA13" s="16" t="s">
        <v>48</v>
      </c>
      <c r="AB13" s="16" t="s">
        <v>48</v>
      </c>
      <c r="AC13" s="16" t="s">
        <v>48</v>
      </c>
      <c r="AD13" s="19">
        <f>MIN(C13:AC13)</f>
        <v>592.17999999999995</v>
      </c>
      <c r="AE13" s="20">
        <f>MAX(C13:AC13)</f>
        <v>1426.5699999999999</v>
      </c>
      <c r="AF13" s="20">
        <f>AVERAGE(C13:AC13)</f>
        <v>853.96466666666674</v>
      </c>
      <c r="AG13" s="20">
        <f>AVERAGE(Q13:AC13)</f>
        <v>771.42200000000003</v>
      </c>
      <c r="AH13" s="21">
        <f>(AG13/AF13)-1</f>
        <v>-9.665817555293077e-002</v>
      </c>
      <c r="AI13" s="21">
        <f>(AG13/AD13)-1</f>
        <v>0.30268161707588925</v>
      </c>
      <c r="AJ13" s="21">
        <f>(AE13/AD13)-1</f>
        <v>1.4090141511027054</v>
      </c>
      <c r="AK13" s="22" t="s">
        <v>70</v>
      </c>
    </row>
    <row r="14" ht="18">
      <c r="A14" s="2" t="s">
        <v>68</v>
      </c>
      <c r="B14" s="3" t="s">
        <v>71</v>
      </c>
      <c r="C14" s="15"/>
      <c r="D14" s="15"/>
      <c r="E14" s="15"/>
      <c r="F14" s="15"/>
      <c r="G14" s="15"/>
      <c r="H14" s="15"/>
      <c r="I14" s="15"/>
      <c r="J14" s="16">
        <v>580.98000000000002</v>
      </c>
      <c r="K14" s="16">
        <v>596.89999999999998</v>
      </c>
      <c r="L14" s="16">
        <v>596.60000000000002</v>
      </c>
      <c r="M14" s="16">
        <v>585.98000000000002</v>
      </c>
      <c r="N14" s="16">
        <v>594</v>
      </c>
      <c r="O14" s="17">
        <v>703.84000000000003</v>
      </c>
      <c r="P14" s="17">
        <v>709.99000000000001</v>
      </c>
      <c r="Q14" s="17">
        <v>679</v>
      </c>
      <c r="R14" s="17">
        <v>709.89999999999998</v>
      </c>
      <c r="S14" s="17">
        <v>698.99000000000001</v>
      </c>
      <c r="T14" s="17">
        <v>699</v>
      </c>
      <c r="U14" s="17">
        <v>679</v>
      </c>
      <c r="V14" s="17">
        <v>669.10000000000002</v>
      </c>
      <c r="W14" s="17">
        <v>678.97000000000003</v>
      </c>
      <c r="X14" s="17">
        <v>599.99000000000001</v>
      </c>
      <c r="Y14" s="17">
        <v>678</v>
      </c>
      <c r="Z14" s="17">
        <v>597.99000000000001</v>
      </c>
      <c r="AA14" s="17">
        <v>649.99000000000001</v>
      </c>
      <c r="AB14" s="17">
        <v>660.99000000000001</v>
      </c>
      <c r="AC14" s="17">
        <v>647.98000000000002</v>
      </c>
      <c r="AD14" s="19">
        <f>MIN(C14:AC14)</f>
        <v>580.98000000000002</v>
      </c>
      <c r="AE14" s="20">
        <f>MAX(C14:AC14)</f>
        <v>709.99000000000001</v>
      </c>
      <c r="AF14" s="20">
        <f>AVERAGE(C14:AC14)</f>
        <v>650.8594999999998</v>
      </c>
      <c r="AG14" s="20">
        <f>AVERAGE(Q14:AC14)</f>
        <v>665.29999999999995</v>
      </c>
      <c r="AH14" s="21">
        <f>(AG14/AF14)-1</f>
        <v>2.2186816048625158e-002</v>
      </c>
      <c r="AI14" s="21">
        <f>(AG14/AD14)-1</f>
        <v>0.14513408378945902</v>
      </c>
      <c r="AJ14" s="21">
        <f>(AE14/AD14)-1</f>
        <v>0.22205583668973117</v>
      </c>
      <c r="AK14" s="22" t="s">
        <v>72</v>
      </c>
    </row>
    <row r="15" ht="18">
      <c r="A15" s="2" t="s">
        <v>68</v>
      </c>
      <c r="B15" s="3" t="s">
        <v>73</v>
      </c>
      <c r="C15" s="15"/>
      <c r="D15" s="15"/>
      <c r="E15" s="15"/>
      <c r="F15" s="15"/>
      <c r="G15" s="15"/>
      <c r="H15" s="15"/>
      <c r="I15" s="15"/>
      <c r="J15" s="16">
        <v>622.63</v>
      </c>
      <c r="K15" s="16">
        <v>665.84000000000003</v>
      </c>
      <c r="L15" s="16">
        <v>642.09000000000003</v>
      </c>
      <c r="M15" s="16">
        <v>718.46000000000004</v>
      </c>
      <c r="N15" s="16">
        <v>677.86000000000001</v>
      </c>
      <c r="O15" s="16">
        <v>667.99000000000001</v>
      </c>
      <c r="P15" s="16">
        <v>669.99000000000001</v>
      </c>
      <c r="Q15" s="16">
        <v>675</v>
      </c>
      <c r="R15" s="16">
        <v>728.61000000000001</v>
      </c>
      <c r="S15" s="16">
        <v>706.87</v>
      </c>
      <c r="T15" s="16">
        <v>705.61000000000001</v>
      </c>
      <c r="U15" s="16">
        <v>700.36000000000001</v>
      </c>
      <c r="V15" s="16">
        <v>684.46000000000004</v>
      </c>
      <c r="W15" s="16">
        <v>689</v>
      </c>
      <c r="X15" s="16">
        <v>679</v>
      </c>
      <c r="Y15" s="16">
        <v>679</v>
      </c>
      <c r="Z15" s="16">
        <v>679</v>
      </c>
      <c r="AA15" s="16">
        <v>679</v>
      </c>
      <c r="AB15" s="16">
        <v>679</v>
      </c>
      <c r="AC15" s="16">
        <v>679.28999999999996</v>
      </c>
      <c r="AD15" s="19">
        <f>MIN(C15:AC15)</f>
        <v>622.63</v>
      </c>
      <c r="AE15" s="20">
        <f>MAX(C15:AC15)</f>
        <v>728.61000000000001</v>
      </c>
      <c r="AF15" s="20">
        <f>AVERAGE(C15:AC15)</f>
        <v>681.45299999999986</v>
      </c>
      <c r="AG15" s="20">
        <f>AVERAGE(Q15:AC15)</f>
        <v>689.55384615384617</v>
      </c>
      <c r="AH15" s="21">
        <f>(AG15/AF15)-1</f>
        <v>1.1887608028501306e-002</v>
      </c>
      <c r="AI15" s="21">
        <f>(AG15/AD15)-1</f>
        <v>0.10748573977136688</v>
      </c>
      <c r="AJ15" s="21">
        <f>(AE15/AD15)-1</f>
        <v>0.17021344940012528</v>
      </c>
      <c r="AK15" s="22" t="s">
        <v>74</v>
      </c>
    </row>
    <row r="16" ht="18">
      <c r="A16" s="25" t="s">
        <v>68</v>
      </c>
      <c r="B16" s="26" t="s">
        <v>75</v>
      </c>
      <c r="C16" s="27"/>
      <c r="D16" s="28"/>
      <c r="E16" s="27"/>
      <c r="F16" s="27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6">
        <v>9489.0400000000009</v>
      </c>
      <c r="Q16" s="16">
        <v>9486.2600000000002</v>
      </c>
      <c r="R16" s="16">
        <v>9395.2900000000009</v>
      </c>
      <c r="S16" s="16">
        <v>11230</v>
      </c>
      <c r="T16" s="16">
        <v>11004</v>
      </c>
      <c r="U16" s="16">
        <v>11315.18</v>
      </c>
      <c r="V16" s="16">
        <v>10867.4</v>
      </c>
      <c r="W16" s="16">
        <v>10757.610000000001</v>
      </c>
      <c r="X16" s="16">
        <v>10790.610000000001</v>
      </c>
      <c r="Y16" s="16">
        <v>10799.02</v>
      </c>
      <c r="Z16" s="16">
        <v>10798.99</v>
      </c>
      <c r="AA16" s="16">
        <v>10757.610000000001</v>
      </c>
      <c r="AB16" s="16">
        <v>10757.610000000001</v>
      </c>
      <c r="AC16" s="16">
        <v>10741.540000000001</v>
      </c>
      <c r="AD16" s="19">
        <f>MIN(C16:AC16)</f>
        <v>9100</v>
      </c>
      <c r="AE16" s="20">
        <f>MAX(C16:AC16)</f>
        <v>11315.18</v>
      </c>
      <c r="AF16" s="20">
        <f>AVERAGE(C16:AC16)</f>
        <v>10003.919999999998</v>
      </c>
      <c r="AG16" s="20">
        <f>AVERAGE(Q16:AC16)</f>
        <v>10669.316923076925</v>
      </c>
      <c r="AH16" s="21">
        <f>(AG16/AF16)-1</f>
        <v>6.6513618969056942e-002</v>
      </c>
      <c r="AI16" s="21">
        <f>(AG16/AD16)-1</f>
        <v>0.17245240912933246</v>
      </c>
      <c r="AJ16" s="21">
        <f>(AE16/AD16)-1</f>
        <v>0.24342637362637376</v>
      </c>
      <c r="AK16" s="22" t="s">
        <v>76</v>
      </c>
    </row>
    <row r="17" ht="36">
      <c r="A17" s="2" t="s">
        <v>68</v>
      </c>
      <c r="B17" s="3" t="s">
        <v>77</v>
      </c>
      <c r="C17" s="15"/>
      <c r="D17" s="15"/>
      <c r="E17" s="15"/>
      <c r="F17" s="15"/>
      <c r="G17" s="15"/>
      <c r="H17" s="15"/>
      <c r="I17" s="15"/>
      <c r="J17" s="15"/>
      <c r="K17" s="16">
        <v>1297.6199999999999</v>
      </c>
      <c r="L17" s="16">
        <v>1297.6199999999999</v>
      </c>
      <c r="M17" s="16">
        <v>1416.98</v>
      </c>
      <c r="N17" s="16">
        <v>1417</v>
      </c>
      <c r="O17" s="17">
        <v>1691.6900000000001</v>
      </c>
      <c r="P17" s="17">
        <v>1697.6199999999999</v>
      </c>
      <c r="Q17" s="17">
        <v>1697.6199999999999</v>
      </c>
      <c r="R17" s="17">
        <v>1516</v>
      </c>
      <c r="S17" s="17">
        <v>1516</v>
      </c>
      <c r="T17" s="17">
        <v>1544.76</v>
      </c>
      <c r="U17" s="17">
        <v>1544.76</v>
      </c>
      <c r="V17" s="17">
        <v>1611.1400000000001</v>
      </c>
      <c r="W17" s="17">
        <v>1610.1400000000001</v>
      </c>
      <c r="X17" s="17">
        <v>1610.8900000000001</v>
      </c>
      <c r="Y17" s="17">
        <v>1610.8900000000001</v>
      </c>
      <c r="Z17" s="17">
        <v>1558.77</v>
      </c>
      <c r="AA17" s="17">
        <v>1558.77</v>
      </c>
      <c r="AB17" s="17">
        <v>1558.77</v>
      </c>
      <c r="AC17" s="17">
        <v>1516</v>
      </c>
      <c r="AD17" s="19">
        <f>MIN(C17:AC17)</f>
        <v>1297.6199999999999</v>
      </c>
      <c r="AE17" s="20">
        <f>MAX(C17:AC17)</f>
        <v>1697.6199999999999</v>
      </c>
      <c r="AF17" s="20">
        <f>AVERAGE(C17:AC17)</f>
        <v>1540.6863157894736</v>
      </c>
      <c r="AG17" s="20">
        <f>AVERAGE(Q17:AC17)</f>
        <v>1573.4238461538459</v>
      </c>
      <c r="AH17" s="21">
        <f>(AG17/AF17)-1</f>
        <v>2.1248666927762727e-002</v>
      </c>
      <c r="AI17" s="21">
        <f>(AG17/AD17)-1</f>
        <v>0.21254592727751276</v>
      </c>
      <c r="AJ17" s="21">
        <f>(AE17/AD17)-1</f>
        <v>0.30825665449052875</v>
      </c>
      <c r="AK17" s="22" t="s">
        <v>78</v>
      </c>
    </row>
    <row r="18" ht="36">
      <c r="A18" s="25" t="s">
        <v>68</v>
      </c>
      <c r="B18" s="26" t="s">
        <v>79</v>
      </c>
      <c r="C18" s="27"/>
      <c r="D18" s="28"/>
      <c r="E18" s="28"/>
      <c r="F18" s="28">
        <v>2279</v>
      </c>
      <c r="G18" s="28" t="s">
        <v>80</v>
      </c>
      <c r="H18" s="28" t="s">
        <v>80</v>
      </c>
      <c r="I18" s="28" t="s">
        <v>80</v>
      </c>
      <c r="J18" s="28" t="s">
        <v>80</v>
      </c>
      <c r="K18" s="28" t="s">
        <v>80</v>
      </c>
      <c r="L18" s="28" t="s">
        <v>80</v>
      </c>
      <c r="M18" s="28" t="s">
        <v>80</v>
      </c>
      <c r="N18" s="28" t="s">
        <v>80</v>
      </c>
      <c r="O18" s="28" t="s">
        <v>80</v>
      </c>
      <c r="P18" s="16" t="s">
        <v>80</v>
      </c>
      <c r="Q18" s="16" t="s">
        <v>80</v>
      </c>
      <c r="R18" s="16" t="s">
        <v>80</v>
      </c>
      <c r="S18" s="16" t="s">
        <v>80</v>
      </c>
      <c r="T18" s="16" t="s">
        <v>80</v>
      </c>
      <c r="U18" s="16" t="s">
        <v>80</v>
      </c>
      <c r="V18" s="16" t="s">
        <v>80</v>
      </c>
      <c r="W18" s="16" t="s">
        <v>80</v>
      </c>
      <c r="X18" s="16" t="s">
        <v>80</v>
      </c>
      <c r="Y18" s="16" t="s">
        <v>80</v>
      </c>
      <c r="Z18" s="16" t="s">
        <v>80</v>
      </c>
      <c r="AA18" s="16" t="s">
        <v>80</v>
      </c>
      <c r="AB18" s="16" t="s">
        <v>80</v>
      </c>
      <c r="AC18" s="16" t="s">
        <v>80</v>
      </c>
      <c r="AD18" s="19">
        <f>MIN(C18:AC18)</f>
        <v>2279</v>
      </c>
      <c r="AE18" s="20">
        <f>MAX(C18:AC18)</f>
        <v>2279</v>
      </c>
      <c r="AF18" s="20">
        <f>AVERAGE(C18:AC18)</f>
        <v>2279</v>
      </c>
      <c r="AG18" s="20" t="e">
        <f>AVERAGE(Q18:AC18)</f>
        <v>#NUM!</v>
      </c>
      <c r="AH18" s="21" t="e">
        <f>(AG18/AF18)-1</f>
        <v>#NUM!</v>
      </c>
      <c r="AI18" s="21" t="e">
        <f>(AG18/AD18)-1</f>
        <v>#NUM!</v>
      </c>
      <c r="AJ18" s="21">
        <f>(AE18/AD18)-1</f>
        <v>0</v>
      </c>
      <c r="AK18" s="22" t="s">
        <v>81</v>
      </c>
    </row>
    <row r="19" ht="36">
      <c r="A19" s="25" t="s">
        <v>68</v>
      </c>
      <c r="B19" s="26" t="s">
        <v>82</v>
      </c>
      <c r="C19" s="27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>
        <v>3499.9499999999998</v>
      </c>
      <c r="AD19" s="19">
        <f>MIN(C19:AC19)</f>
        <v>3499.9499999999998</v>
      </c>
      <c r="AE19" s="20">
        <f>MAX(C19:AC19)</f>
        <v>3499.9499999999998</v>
      </c>
      <c r="AF19" s="20">
        <f>AVERAGE(C19:AC19)</f>
        <v>3499.9499999999998</v>
      </c>
      <c r="AG19" s="20">
        <f>AVERAGE(Q19:AC19)</f>
        <v>3499.9499999999998</v>
      </c>
      <c r="AH19" s="21">
        <f>(AG19/AF19)-1</f>
        <v>0</v>
      </c>
      <c r="AI19" s="21">
        <f>(AG19/AD19)-1</f>
        <v>0</v>
      </c>
      <c r="AJ19" s="21">
        <f>(AE19/AD19)-1</f>
        <v>0</v>
      </c>
      <c r="AK19" s="29" t="s">
        <v>83</v>
      </c>
    </row>
    <row r="20" ht="18">
      <c r="A20" s="25" t="s">
        <v>68</v>
      </c>
      <c r="B20" s="26" t="s">
        <v>84</v>
      </c>
      <c r="C20" s="27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>
        <v>1624.75</v>
      </c>
      <c r="AD20" s="19">
        <f>MIN(C20:AC20)</f>
        <v>1624.75</v>
      </c>
      <c r="AE20" s="20">
        <f>MAX(C20:AC20)</f>
        <v>1624.75</v>
      </c>
      <c r="AF20" s="20">
        <f>AVERAGE(C20:AC20)</f>
        <v>1624.75</v>
      </c>
      <c r="AG20" s="20">
        <f>AVERAGE(Q20:AC20)</f>
        <v>1624.75</v>
      </c>
      <c r="AH20" s="21">
        <f>(AG20/AF20)-1</f>
        <v>0</v>
      </c>
      <c r="AI20" s="21">
        <f>(AG20/AD20)-1</f>
        <v>0</v>
      </c>
      <c r="AJ20" s="21">
        <f>(AE20/AD20)-1</f>
        <v>0</v>
      </c>
      <c r="AK20" s="29" t="s">
        <v>85</v>
      </c>
    </row>
    <row r="21" ht="18">
      <c r="A21" s="25" t="s">
        <v>68</v>
      </c>
      <c r="B21" s="26" t="s">
        <v>86</v>
      </c>
      <c r="C21" s="27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>
        <v>759.95000000000005</v>
      </c>
      <c r="AD21" s="19">
        <f>MIN(C21:AC21)</f>
        <v>759.95000000000005</v>
      </c>
      <c r="AE21" s="20">
        <f>MAX(C21:AC21)</f>
        <v>759.95000000000005</v>
      </c>
      <c r="AF21" s="20">
        <f>AVERAGE(C21:AC21)</f>
        <v>759.95000000000005</v>
      </c>
      <c r="AG21" s="20">
        <f>AVERAGE(Q21:AC21)</f>
        <v>759.95000000000005</v>
      </c>
      <c r="AH21" s="21">
        <f>(AG21/AF21)-1</f>
        <v>0</v>
      </c>
      <c r="AI21" s="21">
        <f>(AG21/AD21)-1</f>
        <v>0</v>
      </c>
      <c r="AJ21" s="21">
        <f>(AE21/AD21)-1</f>
        <v>0</v>
      </c>
      <c r="AK21" s="29" t="s">
        <v>87</v>
      </c>
    </row>
    <row r="22" ht="18">
      <c r="A22" s="2" t="s">
        <v>68</v>
      </c>
      <c r="B22" s="3" t="s">
        <v>88</v>
      </c>
      <c r="C22" s="24">
        <v>176.69</v>
      </c>
      <c r="D22" s="16"/>
      <c r="E22" s="16"/>
      <c r="F22" s="16"/>
      <c r="G22" s="24">
        <v>150</v>
      </c>
      <c r="H22" s="16">
        <v>150</v>
      </c>
      <c r="I22" s="16">
        <v>199</v>
      </c>
      <c r="J22" s="16">
        <v>199</v>
      </c>
      <c r="K22" s="16">
        <v>199</v>
      </c>
      <c r="L22" s="24">
        <v>145</v>
      </c>
      <c r="M22" s="24">
        <v>150</v>
      </c>
      <c r="N22" s="24">
        <v>150</v>
      </c>
      <c r="O22" s="24">
        <v>148.05000000000001</v>
      </c>
      <c r="P22" s="18">
        <v>219.69</v>
      </c>
      <c r="Q22" s="30">
        <v>237.69999999999999</v>
      </c>
      <c r="R22" s="30">
        <v>237.69999999999999</v>
      </c>
      <c r="S22" s="30">
        <v>237.69999999999999</v>
      </c>
      <c r="T22" s="30">
        <v>237.69999999999999</v>
      </c>
      <c r="U22" s="30">
        <v>237.69999999999999</v>
      </c>
      <c r="V22" s="30">
        <v>228</v>
      </c>
      <c r="W22" s="30">
        <v>228</v>
      </c>
      <c r="X22" s="30">
        <v>228</v>
      </c>
      <c r="Y22" s="30">
        <v>260</v>
      </c>
      <c r="Z22" s="30">
        <v>260</v>
      </c>
      <c r="AA22" s="30">
        <v>260</v>
      </c>
      <c r="AB22" s="30">
        <v>260</v>
      </c>
      <c r="AC22" s="30">
        <v>260</v>
      </c>
      <c r="AD22" s="19">
        <f>MIN(C22:AC22)</f>
        <v>145</v>
      </c>
      <c r="AE22" s="20">
        <f>MAX(C22:AC22)</f>
        <v>260</v>
      </c>
      <c r="AF22" s="20">
        <f>AVERAGE(C22:AC22)</f>
        <v>210.78874999999996</v>
      </c>
      <c r="AG22" s="20">
        <f>AVERAGE(Q22:AC22)</f>
        <v>244.03846153846155</v>
      </c>
      <c r="AH22" s="21">
        <f>(AG22/AF22)-1</f>
        <v>0.15773949766513429</v>
      </c>
      <c r="AI22" s="21">
        <f>(AG22/AD22)-1</f>
        <v>0.68302387267904519</v>
      </c>
      <c r="AJ22" s="21">
        <f>(AE22/AD22)-1</f>
        <v>0.7931034482758621</v>
      </c>
      <c r="AK22" s="22" t="s">
        <v>89</v>
      </c>
    </row>
    <row r="23" ht="18">
      <c r="A23" s="2" t="s">
        <v>68</v>
      </c>
      <c r="B23" s="3" t="s">
        <v>90</v>
      </c>
      <c r="C23" s="16"/>
      <c r="D23" s="16"/>
      <c r="E23" s="16"/>
      <c r="F23" s="16"/>
      <c r="G23" s="16">
        <v>179</v>
      </c>
      <c r="H23" s="16">
        <v>179</v>
      </c>
      <c r="I23" s="16">
        <v>180</v>
      </c>
      <c r="J23" s="24">
        <v>176.91999999999999</v>
      </c>
      <c r="K23" s="24">
        <v>176.91999999999999</v>
      </c>
      <c r="L23" s="24">
        <v>176.91999999999999</v>
      </c>
      <c r="M23" s="24">
        <v>176.91999999999999</v>
      </c>
      <c r="N23" s="24">
        <v>179</v>
      </c>
      <c r="O23" s="24">
        <v>180</v>
      </c>
      <c r="P23" s="17">
        <v>198.90000000000001</v>
      </c>
      <c r="Q23" s="17">
        <v>203.93000000000001</v>
      </c>
      <c r="R23" s="17">
        <v>208.97</v>
      </c>
      <c r="S23" s="17">
        <v>212.09</v>
      </c>
      <c r="T23" s="17">
        <v>212.31</v>
      </c>
      <c r="U23" s="16" t="s">
        <v>48</v>
      </c>
      <c r="V23" s="18">
        <v>229.94999999999999</v>
      </c>
      <c r="W23" s="18">
        <v>229.94</v>
      </c>
      <c r="X23" s="18">
        <v>230</v>
      </c>
      <c r="Y23" s="30">
        <v>270</v>
      </c>
      <c r="Z23" s="30">
        <v>270</v>
      </c>
      <c r="AA23" s="30">
        <v>270</v>
      </c>
      <c r="AB23" s="30">
        <v>270</v>
      </c>
      <c r="AC23" s="30">
        <v>270</v>
      </c>
      <c r="AD23" s="19">
        <f>MIN(C23:AC23)</f>
        <v>176.91999999999999</v>
      </c>
      <c r="AE23" s="20">
        <f>MAX(C23:AC23)</f>
        <v>270</v>
      </c>
      <c r="AF23" s="20">
        <f>AVERAGE(C23:AC23)</f>
        <v>212.76227272727274</v>
      </c>
      <c r="AG23" s="20">
        <f>AVERAGE(Q23:AC23)</f>
        <v>239.76583333333335</v>
      </c>
      <c r="AH23" s="21">
        <f>(AG23/AF23)-1</f>
        <v>0.1269189328536402</v>
      </c>
      <c r="AI23" s="21">
        <f>(AG23/AD23)-1</f>
        <v>0.35522175747984042</v>
      </c>
      <c r="AJ23" s="21">
        <f>(AE23/AD23)-1</f>
        <v>0.52611349762604576</v>
      </c>
      <c r="AK23" s="22" t="s">
        <v>91</v>
      </c>
    </row>
    <row r="24" ht="18">
      <c r="A24" s="25" t="s">
        <v>68</v>
      </c>
      <c r="B24" s="26" t="s">
        <v>92</v>
      </c>
      <c r="C24" s="28"/>
      <c r="D24" s="28"/>
      <c r="E24" s="28"/>
      <c r="F24" s="28"/>
      <c r="G24" s="28">
        <v>396.77999999999997</v>
      </c>
      <c r="H24" s="28">
        <v>396.77999999999997</v>
      </c>
      <c r="I24" s="28" t="s">
        <v>48</v>
      </c>
      <c r="J24" s="28" t="s">
        <v>48</v>
      </c>
      <c r="K24" s="28" t="s">
        <v>48</v>
      </c>
      <c r="L24" s="28" t="s">
        <v>48</v>
      </c>
      <c r="M24" s="28" t="s">
        <v>48</v>
      </c>
      <c r="N24" s="28" t="s">
        <v>48</v>
      </c>
      <c r="O24" s="28" t="s">
        <v>48</v>
      </c>
      <c r="P24" s="16" t="s">
        <v>48</v>
      </c>
      <c r="Q24" s="16" t="s">
        <v>48</v>
      </c>
      <c r="R24" s="16">
        <v>413</v>
      </c>
      <c r="S24" s="16">
        <v>453.01999999999998</v>
      </c>
      <c r="T24" s="16">
        <v>408.87</v>
      </c>
      <c r="U24" s="16" t="s">
        <v>48</v>
      </c>
      <c r="V24" s="16">
        <v>453.04000000000002</v>
      </c>
      <c r="W24" s="16">
        <v>453.04000000000002</v>
      </c>
      <c r="X24" s="16">
        <v>349</v>
      </c>
      <c r="Y24" s="16">
        <v>349</v>
      </c>
      <c r="Z24" s="16">
        <v>349</v>
      </c>
      <c r="AA24" s="16">
        <v>349</v>
      </c>
      <c r="AB24" s="16">
        <v>349</v>
      </c>
      <c r="AC24" s="16">
        <v>349</v>
      </c>
      <c r="AD24" s="19">
        <f>MIN(C24:AC24)</f>
        <v>349</v>
      </c>
      <c r="AE24" s="20">
        <f>MAX(C24:AC24)</f>
        <v>453.04000000000002</v>
      </c>
      <c r="AF24" s="20">
        <f>AVERAGE(C24:AC24)</f>
        <v>389.88692307692304</v>
      </c>
      <c r="AG24" s="20">
        <f>AVERAGE(Q24:AC24)</f>
        <v>388.6336363636363</v>
      </c>
      <c r="AH24" s="21">
        <f>(AG24/AF24)-1</f>
        <v>-3.2144876863168248e-003</v>
      </c>
      <c r="AI24" s="21">
        <f>(AG24/AD24)-1</f>
        <v>0.11356342797603514</v>
      </c>
      <c r="AJ24" s="21">
        <f>(AE24/AD24)-1</f>
        <v>0.29810888252148993</v>
      </c>
      <c r="AK24" s="29" t="s">
        <v>93</v>
      </c>
    </row>
    <row r="25" ht="54">
      <c r="A25" s="2" t="s">
        <v>94</v>
      </c>
      <c r="B25" s="3" t="s">
        <v>95</v>
      </c>
      <c r="C25" s="16"/>
      <c r="D25" s="16"/>
      <c r="E25" s="16"/>
      <c r="F25" s="16"/>
      <c r="G25" s="16">
        <v>550</v>
      </c>
      <c r="H25" s="16">
        <v>550</v>
      </c>
      <c r="I25" s="16">
        <v>550</v>
      </c>
      <c r="J25" s="16">
        <v>550</v>
      </c>
      <c r="K25" s="16">
        <v>550</v>
      </c>
      <c r="L25" s="16">
        <v>550</v>
      </c>
      <c r="M25" s="16">
        <v>550</v>
      </c>
      <c r="N25" s="16">
        <v>550</v>
      </c>
      <c r="O25" s="16">
        <v>550</v>
      </c>
      <c r="P25" s="16">
        <v>550</v>
      </c>
      <c r="Q25" s="16">
        <v>580</v>
      </c>
      <c r="R25" s="16">
        <v>600</v>
      </c>
      <c r="S25" s="16">
        <v>600</v>
      </c>
      <c r="T25" s="16">
        <v>600</v>
      </c>
      <c r="U25" s="16">
        <v>600</v>
      </c>
      <c r="V25" s="16">
        <v>600</v>
      </c>
      <c r="W25" s="16">
        <v>600</v>
      </c>
      <c r="X25" s="16">
        <v>600</v>
      </c>
      <c r="Y25" s="16">
        <v>600</v>
      </c>
      <c r="Z25" s="16">
        <v>600</v>
      </c>
      <c r="AA25" s="16" t="s">
        <v>48</v>
      </c>
      <c r="AB25" s="16" t="s">
        <v>48</v>
      </c>
      <c r="AC25" s="16" t="s">
        <v>48</v>
      </c>
      <c r="AD25" s="19">
        <f>MIN(C25:AC25)</f>
        <v>550</v>
      </c>
      <c r="AE25" s="20">
        <f>MAX(C25:AC25)</f>
        <v>600</v>
      </c>
      <c r="AF25" s="20">
        <f>AVERAGE(C25:AC25)</f>
        <v>574</v>
      </c>
      <c r="AG25" s="20">
        <f>AVERAGE(Q25:AC25)</f>
        <v>598</v>
      </c>
      <c r="AH25" s="21">
        <f>(AG25/AF25)-1</f>
        <v>4.1811846689895571e-002</v>
      </c>
      <c r="AI25" s="21">
        <f>(AG25/AD25)-1</f>
        <v>8.7272727272727169e-002</v>
      </c>
      <c r="AJ25" s="21">
        <f>(AE25/AD25)-1</f>
        <v>9.0909090909090828e-002</v>
      </c>
      <c r="AK25" s="22" t="s">
        <v>96</v>
      </c>
    </row>
    <row r="26" ht="36">
      <c r="A26" s="2" t="s">
        <v>94</v>
      </c>
      <c r="B26" s="3" t="s">
        <v>97</v>
      </c>
      <c r="C26" s="16"/>
      <c r="D26" s="16"/>
      <c r="E26" s="16"/>
      <c r="F26" s="16"/>
      <c r="G26" s="16">
        <v>550</v>
      </c>
      <c r="H26" s="16">
        <v>550</v>
      </c>
      <c r="I26" s="16">
        <v>550</v>
      </c>
      <c r="J26" s="16">
        <v>550</v>
      </c>
      <c r="K26" s="16">
        <v>550</v>
      </c>
      <c r="L26" s="16">
        <v>550</v>
      </c>
      <c r="M26" s="16">
        <v>550</v>
      </c>
      <c r="N26" s="16">
        <v>550</v>
      </c>
      <c r="O26" s="16">
        <v>550</v>
      </c>
      <c r="P26" s="16">
        <v>550</v>
      </c>
      <c r="Q26" s="16">
        <v>580</v>
      </c>
      <c r="R26" s="16">
        <v>600</v>
      </c>
      <c r="S26" s="16">
        <v>600</v>
      </c>
      <c r="T26" s="16">
        <v>600</v>
      </c>
      <c r="U26" s="16">
        <v>600</v>
      </c>
      <c r="V26" s="16">
        <v>600</v>
      </c>
      <c r="W26" s="16">
        <v>600</v>
      </c>
      <c r="X26" s="16">
        <v>600</v>
      </c>
      <c r="Y26" s="16">
        <v>600</v>
      </c>
      <c r="Z26" s="16">
        <v>600</v>
      </c>
      <c r="AA26" s="16">
        <v>800</v>
      </c>
      <c r="AB26" s="16">
        <v>800</v>
      </c>
      <c r="AC26" s="24">
        <v>599.99000000000001</v>
      </c>
      <c r="AD26" s="19">
        <f>MIN(C26:AC26)</f>
        <v>550</v>
      </c>
      <c r="AE26" s="20">
        <f>MAX(C26:AC26)</f>
        <v>800</v>
      </c>
      <c r="AF26" s="20">
        <f>AVERAGE(C26:AC26)</f>
        <v>594.78217391304349</v>
      </c>
      <c r="AG26" s="20">
        <f>AVERAGE(Q26:AC26)</f>
        <v>629.23000000000002</v>
      </c>
      <c r="AH26" s="21">
        <f>(AG26/AF26)-1</f>
        <v>5.7916709003442257e-002</v>
      </c>
      <c r="AI26" s="21">
        <f>(AG26/AD26)-1</f>
        <v>0.14405454545454544</v>
      </c>
      <c r="AJ26" s="21">
        <f>(AE26/AD26)-1</f>
        <v>0.45454545454545459</v>
      </c>
      <c r="AK26" s="29" t="s">
        <v>98</v>
      </c>
    </row>
    <row r="27" ht="18">
      <c r="A27" s="2" t="s">
        <v>99</v>
      </c>
      <c r="B27" s="3" t="s">
        <v>100</v>
      </c>
      <c r="C27" s="16"/>
      <c r="D27" s="16"/>
      <c r="E27" s="16"/>
      <c r="F27" s="16"/>
      <c r="G27" s="24">
        <v>329</v>
      </c>
      <c r="H27" s="16">
        <v>329</v>
      </c>
      <c r="I27" s="16">
        <v>329</v>
      </c>
      <c r="J27" s="16">
        <v>472</v>
      </c>
      <c r="K27" s="16">
        <v>480</v>
      </c>
      <c r="L27" s="16">
        <v>479</v>
      </c>
      <c r="M27" s="16">
        <v>479</v>
      </c>
      <c r="N27" s="16">
        <v>478</v>
      </c>
      <c r="O27" s="17">
        <v>529.95000000000005</v>
      </c>
      <c r="P27" s="17">
        <v>529.95000000000005</v>
      </c>
      <c r="Q27" s="17">
        <v>472</v>
      </c>
      <c r="R27" s="17">
        <v>529.95000000000005</v>
      </c>
      <c r="S27" s="17">
        <v>529.95000000000005</v>
      </c>
      <c r="T27" s="17">
        <v>529.95000000000005</v>
      </c>
      <c r="U27" s="17">
        <v>518</v>
      </c>
      <c r="V27" s="17">
        <v>518</v>
      </c>
      <c r="W27" s="18">
        <v>549</v>
      </c>
      <c r="X27" s="18">
        <v>549</v>
      </c>
      <c r="Y27" s="18">
        <v>549</v>
      </c>
      <c r="Z27" s="18">
        <v>549</v>
      </c>
      <c r="AA27" s="30">
        <v>969.95000000000005</v>
      </c>
      <c r="AB27" s="32">
        <v>549</v>
      </c>
      <c r="AC27" s="32">
        <v>549</v>
      </c>
      <c r="AD27" s="19">
        <f>MIN(C27:AC27)</f>
        <v>329</v>
      </c>
      <c r="AE27" s="20">
        <f>MAX(C27:AC27)</f>
        <v>969.95000000000005</v>
      </c>
      <c r="AF27" s="20">
        <f>AVERAGE(C27:AC27)</f>
        <v>512.89999999999998</v>
      </c>
      <c r="AG27" s="20">
        <f>AVERAGE(Q27:AC27)</f>
        <v>566.29230769230776</v>
      </c>
      <c r="AH27" s="21">
        <f>(AG27/AF27)-1</f>
        <v>0.10409886467597551</v>
      </c>
      <c r="AI27" s="21">
        <f>(AG27/AD27)-1</f>
        <v>0.72125321487023641</v>
      </c>
      <c r="AJ27" s="21">
        <f>(AE27/AD27)-1</f>
        <v>1.9481762917933132</v>
      </c>
      <c r="AK27" s="22" t="s">
        <v>101</v>
      </c>
    </row>
    <row r="28" ht="18">
      <c r="A28" s="2" t="s">
        <v>99</v>
      </c>
      <c r="B28" s="3" t="s">
        <v>102</v>
      </c>
      <c r="C28" s="16"/>
      <c r="D28" s="16"/>
      <c r="E28" s="16"/>
      <c r="F28" s="16"/>
      <c r="G28" s="24">
        <v>371.14999999999998</v>
      </c>
      <c r="H28" s="16">
        <v>371.14999999999998</v>
      </c>
      <c r="I28" s="16">
        <v>371.14999999999998</v>
      </c>
      <c r="J28" s="16">
        <v>435.13999999999999</v>
      </c>
      <c r="K28" s="16">
        <v>436.93000000000001</v>
      </c>
      <c r="L28" s="16">
        <v>434.66000000000003</v>
      </c>
      <c r="M28" s="16">
        <v>436.93000000000001</v>
      </c>
      <c r="N28" s="16">
        <v>435.14999999999998</v>
      </c>
      <c r="O28" s="17">
        <v>463.79000000000002</v>
      </c>
      <c r="P28" s="17">
        <v>462.67000000000002</v>
      </c>
      <c r="Q28" s="17">
        <v>473</v>
      </c>
      <c r="R28" s="17">
        <v>504.73000000000002</v>
      </c>
      <c r="S28" s="18">
        <v>513.71000000000004</v>
      </c>
      <c r="T28" s="17">
        <v>476.07999999999998</v>
      </c>
      <c r="U28" s="17">
        <v>475.56</v>
      </c>
      <c r="V28" s="17">
        <v>435.14999999999998</v>
      </c>
      <c r="W28" s="17">
        <v>483.99000000000001</v>
      </c>
      <c r="X28" s="17">
        <v>435.14999999999998</v>
      </c>
      <c r="Y28" s="17">
        <v>472.97000000000003</v>
      </c>
      <c r="Z28" s="17">
        <v>435.14999999999998</v>
      </c>
      <c r="AA28" s="17">
        <v>435.14999999999998</v>
      </c>
      <c r="AB28" s="17">
        <v>435.14999999999998</v>
      </c>
      <c r="AC28" s="30">
        <v>648</v>
      </c>
      <c r="AD28" s="19">
        <f>MIN(C28:AC28)</f>
        <v>371.14999999999998</v>
      </c>
      <c r="AE28" s="20">
        <f>MAX(C28:AC28)</f>
        <v>648</v>
      </c>
      <c r="AF28" s="20">
        <f>AVERAGE(C28:AC28)</f>
        <v>454.02217391304333</v>
      </c>
      <c r="AG28" s="20">
        <f>AVERAGE(Q28:AC28)</f>
        <v>478.75307692307683</v>
      </c>
      <c r="AH28" s="21">
        <f>(AG28/AF28)-1</f>
        <v>5.4470694232590766e-002</v>
      </c>
      <c r="AI28" s="21">
        <f>(AG28/AD28)-1</f>
        <v>0.28991803023865526</v>
      </c>
      <c r="AJ28" s="21">
        <f>(AE28/AD28)-1</f>
        <v>0.74592482823656225</v>
      </c>
      <c r="AK28" s="22" t="s">
        <v>103</v>
      </c>
    </row>
    <row r="29" ht="36">
      <c r="A29" s="25" t="s">
        <v>104</v>
      </c>
      <c r="B29" s="26" t="s">
        <v>105</v>
      </c>
      <c r="C29" s="28"/>
      <c r="D29" s="28"/>
      <c r="E29" s="28">
        <v>433.49000000000001</v>
      </c>
      <c r="F29" s="24">
        <v>396</v>
      </c>
      <c r="G29" s="28">
        <v>541.24000000000001</v>
      </c>
      <c r="H29" s="28">
        <v>531.65999999999997</v>
      </c>
      <c r="I29" s="28">
        <v>524.17999999999995</v>
      </c>
      <c r="J29" s="28">
        <v>519.91999999999996</v>
      </c>
      <c r="K29" s="28">
        <v>519.74000000000001</v>
      </c>
      <c r="L29" s="28">
        <v>429.80000000000001</v>
      </c>
      <c r="M29" s="28">
        <v>534.13</v>
      </c>
      <c r="N29" s="28">
        <v>525.30999999999995</v>
      </c>
      <c r="O29" s="28">
        <v>524.61000000000001</v>
      </c>
      <c r="P29" s="16">
        <v>568.66999999999996</v>
      </c>
      <c r="Q29" s="16">
        <v>559.30999999999995</v>
      </c>
      <c r="R29" s="16">
        <v>557.15999999999997</v>
      </c>
      <c r="S29" s="16">
        <v>557.15999999999997</v>
      </c>
      <c r="T29" s="16">
        <v>559.45000000000005</v>
      </c>
      <c r="U29" s="16">
        <v>492.13999999999999</v>
      </c>
      <c r="V29" s="30">
        <v>609.25</v>
      </c>
      <c r="W29" s="32">
        <v>587.11000000000001</v>
      </c>
      <c r="X29" s="32">
        <v>587.11000000000001</v>
      </c>
      <c r="Y29" s="30">
        <v>619.59000000000003</v>
      </c>
      <c r="Z29" s="30">
        <v>619.58000000000004</v>
      </c>
      <c r="AA29" s="30">
        <v>619.58000000000004</v>
      </c>
      <c r="AB29" s="30">
        <v>619.59000000000003</v>
      </c>
      <c r="AC29" s="30">
        <v>619.59000000000003</v>
      </c>
      <c r="AD29" s="19">
        <f>MIN(C29:AC29)</f>
        <v>396</v>
      </c>
      <c r="AE29" s="20">
        <f>MAX(C29:AC29)</f>
        <v>619.59000000000003</v>
      </c>
      <c r="AF29" s="20">
        <f>AVERAGE(C29:AC29)</f>
        <v>546.21480000000008</v>
      </c>
      <c r="AG29" s="20">
        <f>AVERAGE(Q29:AC29)</f>
        <v>585.12461538461537</v>
      </c>
      <c r="AH29" s="21">
        <f>(AG29/AF29)-1</f>
        <v>7.1235373674633617e-002</v>
      </c>
      <c r="AI29" s="21">
        <f>(AG29/AD29)-1</f>
        <v>0.47758741258741244</v>
      </c>
      <c r="AJ29" s="21">
        <f>(AE29/AD29)-1</f>
        <v>0.56462121212121219</v>
      </c>
      <c r="AK29" s="22" t="s">
        <v>106</v>
      </c>
    </row>
    <row r="30" ht="18">
      <c r="A30" s="2" t="s">
        <v>104</v>
      </c>
      <c r="B30" s="3" t="s">
        <v>107</v>
      </c>
      <c r="C30" s="16"/>
      <c r="D30" s="24">
        <v>381.82999999999998</v>
      </c>
      <c r="E30" s="16"/>
      <c r="F30" s="16"/>
      <c r="G30" s="16">
        <v>931.41999999999996</v>
      </c>
      <c r="H30" s="16">
        <v>902.87</v>
      </c>
      <c r="I30" s="16">
        <v>902.87</v>
      </c>
      <c r="J30" s="17">
        <v>990.46000000000004</v>
      </c>
      <c r="K30" s="17">
        <v>984.66999999999996</v>
      </c>
      <c r="L30" s="17">
        <v>1020.16</v>
      </c>
      <c r="M30" s="17">
        <v>1153.71</v>
      </c>
      <c r="N30" s="17">
        <v>988.74000000000001</v>
      </c>
      <c r="O30" s="18">
        <v>1543.1300000000001</v>
      </c>
      <c r="P30" s="18">
        <v>1552.5699999999999</v>
      </c>
      <c r="Q30" s="18">
        <v>1542.1700000000001</v>
      </c>
      <c r="R30" s="18">
        <v>1398</v>
      </c>
      <c r="S30" s="18">
        <v>1534.8399999999999</v>
      </c>
      <c r="T30" s="33">
        <v>370</v>
      </c>
      <c r="U30" s="30">
        <v>1655.4000000000001</v>
      </c>
      <c r="V30" s="34">
        <v>700</v>
      </c>
      <c r="W30" s="30">
        <v>1678.0799999999999</v>
      </c>
      <c r="X30" s="30">
        <v>1565.48</v>
      </c>
      <c r="Y30" s="30">
        <v>1592.45</v>
      </c>
      <c r="Z30" s="30">
        <v>1561.8099999999999</v>
      </c>
      <c r="AA30" s="30">
        <v>1445.73</v>
      </c>
      <c r="AB30" s="30">
        <v>1422.1300000000001</v>
      </c>
      <c r="AC30" s="30">
        <v>1445.73</v>
      </c>
      <c r="AD30" s="19">
        <f>MIN(C30:AC30)</f>
        <v>370</v>
      </c>
      <c r="AE30" s="20">
        <f>MAX(C30:AC30)</f>
        <v>1678.0799999999999</v>
      </c>
      <c r="AF30" s="20">
        <f>AVERAGE(C30:AC30)</f>
        <v>1219.34375</v>
      </c>
      <c r="AG30" s="20">
        <f>AVERAGE(Q30:AC30)</f>
        <v>1377.8323076923077</v>
      </c>
      <c r="AH30" s="21">
        <f>(AG30/AF30)-1</f>
        <v>0.12997857059775608</v>
      </c>
      <c r="AI30" s="21">
        <f>(AG30/AD30)-1</f>
        <v>2.7238711018711022</v>
      </c>
      <c r="AJ30" s="21">
        <f>(AE30/AD30)-1</f>
        <v>3.535351351351351</v>
      </c>
      <c r="AK30" s="22" t="s">
        <v>108</v>
      </c>
    </row>
    <row r="31" ht="18">
      <c r="A31" s="2" t="s">
        <v>104</v>
      </c>
      <c r="B31" s="3" t="s">
        <v>109</v>
      </c>
      <c r="C31" s="16"/>
      <c r="D31" s="16"/>
      <c r="E31" s="16"/>
      <c r="F31" s="16"/>
      <c r="G31" s="16"/>
      <c r="H31" s="16"/>
      <c r="I31" s="16"/>
      <c r="J31" s="16"/>
      <c r="K31" s="16">
        <v>109.98999999999999</v>
      </c>
      <c r="L31" s="16">
        <v>109.98999999999999</v>
      </c>
      <c r="M31" s="17">
        <v>165.72999999999999</v>
      </c>
      <c r="N31" s="17">
        <v>124.98999999999999</v>
      </c>
      <c r="O31" s="17">
        <v>134.99000000000001</v>
      </c>
      <c r="P31" s="17">
        <v>139.99000000000001</v>
      </c>
      <c r="Q31" s="17">
        <v>149.99000000000001</v>
      </c>
      <c r="R31" s="17">
        <v>149.99000000000001</v>
      </c>
      <c r="S31" s="17">
        <v>149.99000000000001</v>
      </c>
      <c r="T31" s="18">
        <v>159.99000000000001</v>
      </c>
      <c r="U31" s="18">
        <v>159.99000000000001</v>
      </c>
      <c r="V31" s="18">
        <v>164.99000000000001</v>
      </c>
      <c r="W31" s="18">
        <v>164.99000000000001</v>
      </c>
      <c r="X31" s="18">
        <v>164.99000000000001</v>
      </c>
      <c r="Y31" s="18">
        <v>166.99000000000001</v>
      </c>
      <c r="Z31" s="18">
        <v>166.99000000000001</v>
      </c>
      <c r="AA31" s="18">
        <v>169.99000000000001</v>
      </c>
      <c r="AB31" s="18">
        <v>169.99000000000001</v>
      </c>
      <c r="AC31" s="18">
        <v>169.97</v>
      </c>
      <c r="AD31" s="19">
        <f>MIN(C31:AC31)</f>
        <v>109.98999999999999</v>
      </c>
      <c r="AE31" s="20">
        <f>MAX(C31:AC31)</f>
        <v>169.99000000000001</v>
      </c>
      <c r="AF31" s="20">
        <f>AVERAGE(C31:AC31)</f>
        <v>152.34368421052628</v>
      </c>
      <c r="AG31" s="20">
        <f>AVERAGE(Q31:AC31)</f>
        <v>162.21923076923076</v>
      </c>
      <c r="AH31" s="21">
        <f>(AG31/AF31)-1</f>
        <v>6.4824128482131815e-002</v>
      </c>
      <c r="AI31" s="21">
        <f>(AG31/AD31)-1</f>
        <v>0.47485435738913329</v>
      </c>
      <c r="AJ31" s="21">
        <f>(AE31/AD31)-1</f>
        <v>0.54550413673970377</v>
      </c>
      <c r="AK31" s="22" t="s">
        <v>110</v>
      </c>
    </row>
    <row r="32" ht="18">
      <c r="A32" s="25" t="s">
        <v>104</v>
      </c>
      <c r="B32" s="26" t="s">
        <v>111</v>
      </c>
      <c r="C32" s="28"/>
      <c r="D32" s="28"/>
      <c r="E32" s="28"/>
      <c r="F32" s="28"/>
      <c r="G32" s="28"/>
      <c r="H32" s="28"/>
      <c r="I32" s="28"/>
      <c r="J32" s="28"/>
      <c r="K32" s="28">
        <v>69</v>
      </c>
      <c r="L32" s="28">
        <v>68</v>
      </c>
      <c r="M32" s="28">
        <v>80.060000000000002</v>
      </c>
      <c r="N32" s="28">
        <v>74.560000000000002</v>
      </c>
      <c r="O32" s="28">
        <v>76.189999999999998</v>
      </c>
      <c r="P32" s="16">
        <v>74.989999999999995</v>
      </c>
      <c r="Q32" s="16">
        <v>77.319999999999993</v>
      </c>
      <c r="R32" s="16">
        <v>83</v>
      </c>
      <c r="S32" s="16">
        <v>83</v>
      </c>
      <c r="T32" s="16">
        <v>83</v>
      </c>
      <c r="U32" s="16">
        <v>81</v>
      </c>
      <c r="V32" s="17">
        <v>85.700000000000003</v>
      </c>
      <c r="W32" s="17">
        <v>82</v>
      </c>
      <c r="X32" s="17">
        <v>82.890000000000001</v>
      </c>
      <c r="Y32" s="17">
        <v>81.480000000000004</v>
      </c>
      <c r="Z32" s="17">
        <v>81.480000000000004</v>
      </c>
      <c r="AA32" s="17">
        <v>76.340000000000003</v>
      </c>
      <c r="AB32" s="17">
        <v>81.900000000000006</v>
      </c>
      <c r="AC32" s="17">
        <v>80.019999999999996</v>
      </c>
      <c r="AD32" s="19">
        <f>MIN(C32:AC32)</f>
        <v>68</v>
      </c>
      <c r="AE32" s="20">
        <f>MAX(C32:AC32)</f>
        <v>85.700000000000003</v>
      </c>
      <c r="AF32" s="20">
        <f>AVERAGE(C32:AC32)</f>
        <v>79.048947368421054</v>
      </c>
      <c r="AG32" s="20">
        <f>AVERAGE(Q32:AC32)</f>
        <v>81.471538461538472</v>
      </c>
      <c r="AH32" s="21">
        <f>(AG32/AF32)-1</f>
        <v>3.064672173086036e-002</v>
      </c>
      <c r="AI32" s="21">
        <f>(AG32/AD32)-1</f>
        <v>0.19811085972850684</v>
      </c>
      <c r="AJ32" s="21">
        <f>(AE32/AD32)-1</f>
        <v>0.26029411764705879</v>
      </c>
      <c r="AK32" s="22" t="s">
        <v>112</v>
      </c>
    </row>
    <row r="33" ht="18">
      <c r="A33" s="2" t="s">
        <v>104</v>
      </c>
      <c r="B33" s="3" t="s">
        <v>113</v>
      </c>
      <c r="C33" s="16"/>
      <c r="D33" s="16"/>
      <c r="E33" s="16"/>
      <c r="F33" s="16"/>
      <c r="G33" s="16"/>
      <c r="H33" s="16"/>
      <c r="I33" s="16"/>
      <c r="J33" s="16"/>
      <c r="K33" s="16">
        <v>69.989999999999995</v>
      </c>
      <c r="L33" s="16">
        <v>55</v>
      </c>
      <c r="M33" s="16">
        <v>55</v>
      </c>
      <c r="N33" s="17">
        <v>84.590000000000003</v>
      </c>
      <c r="O33" s="17">
        <v>82.590000000000003</v>
      </c>
      <c r="P33" s="17">
        <v>82.590000000000003</v>
      </c>
      <c r="Q33" s="17">
        <v>80.769999999999996</v>
      </c>
      <c r="R33" s="17">
        <v>82.590000000000003</v>
      </c>
      <c r="S33" s="30">
        <v>108</v>
      </c>
      <c r="T33" s="30">
        <v>104.5</v>
      </c>
      <c r="U33" s="30">
        <v>111</v>
      </c>
      <c r="V33" s="33">
        <v>65.530000000000001</v>
      </c>
      <c r="W33" s="32">
        <v>99.989999999999995</v>
      </c>
      <c r="X33" s="30">
        <v>107</v>
      </c>
      <c r="Y33" s="32">
        <v>99.900000000000006</v>
      </c>
      <c r="Z33" s="32">
        <v>99.900000000000006</v>
      </c>
      <c r="AA33" s="30">
        <v>104.98999999999999</v>
      </c>
      <c r="AB33" s="32">
        <v>97</v>
      </c>
      <c r="AC33" s="32">
        <v>97</v>
      </c>
      <c r="AD33" s="19">
        <f>MIN(C33:AC33)</f>
        <v>55</v>
      </c>
      <c r="AE33" s="20">
        <f>MAX(C33:AC33)</f>
        <v>111</v>
      </c>
      <c r="AF33" s="20">
        <f>AVERAGE(C33:AC33)</f>
        <v>88.838421052631588</v>
      </c>
      <c r="AG33" s="20">
        <f>AVERAGE(Q33:AC33)</f>
        <v>96.782307692307683</v>
      </c>
      <c r="AH33" s="21">
        <f>(AG33/AF33)-1</f>
        <v>8.9419493790527937e-002</v>
      </c>
      <c r="AI33" s="21">
        <f>(AG33/AD33)-1</f>
        <v>0.75967832167832161</v>
      </c>
      <c r="AJ33" s="21">
        <f>(AE33/AD33)-1</f>
        <v>1.0181818181818181</v>
      </c>
      <c r="AK33" s="22" t="s">
        <v>114</v>
      </c>
    </row>
    <row r="34" ht="18">
      <c r="A34" s="2" t="s">
        <v>104</v>
      </c>
      <c r="B34" s="3" t="s">
        <v>115</v>
      </c>
      <c r="C34" s="16"/>
      <c r="D34" s="16"/>
      <c r="E34" s="16"/>
      <c r="F34" s="16"/>
      <c r="G34" s="16"/>
      <c r="H34" s="16"/>
      <c r="I34" s="16"/>
      <c r="J34" s="16"/>
      <c r="K34" s="16"/>
      <c r="L34" s="16">
        <v>68.859999999999999</v>
      </c>
      <c r="M34" s="16">
        <v>47.359999999999999</v>
      </c>
      <c r="N34" s="16">
        <v>47.359999999999999</v>
      </c>
      <c r="O34" s="16">
        <v>55</v>
      </c>
      <c r="P34" s="16">
        <v>53.869999999999997</v>
      </c>
      <c r="Q34" s="16">
        <v>53.869999999999997</v>
      </c>
      <c r="R34" s="17">
        <v>83.909999999999997</v>
      </c>
      <c r="S34" s="17">
        <v>90.579999999999998</v>
      </c>
      <c r="T34" s="18">
        <v>100.68000000000001</v>
      </c>
      <c r="U34" s="18">
        <v>92.530000000000001</v>
      </c>
      <c r="V34" s="17">
        <v>89.090000000000003</v>
      </c>
      <c r="W34" s="17">
        <v>86.700000000000003</v>
      </c>
      <c r="X34" s="17">
        <v>86.700000000000003</v>
      </c>
      <c r="Y34" s="17">
        <v>89.700000000000003</v>
      </c>
      <c r="Z34" s="18">
        <v>91</v>
      </c>
      <c r="AA34" s="18">
        <v>91</v>
      </c>
      <c r="AB34" s="16">
        <v>61.579999999999998</v>
      </c>
      <c r="AC34" s="16">
        <v>89.700000000000003</v>
      </c>
      <c r="AD34" s="19">
        <f>MIN(C34:AC34)</f>
        <v>47.359999999999999</v>
      </c>
      <c r="AE34" s="20">
        <f>MAX(C34:AC34)</f>
        <v>100.68000000000001</v>
      </c>
      <c r="AF34" s="20">
        <f>AVERAGE(C34:AC34)</f>
        <v>76.638333333333335</v>
      </c>
      <c r="AG34" s="20">
        <f>AVERAGE(Q34:AC34)</f>
        <v>85.156923076923093</v>
      </c>
      <c r="AH34" s="21">
        <f>(AG34/AF34)-1</f>
        <v>0.11115311846016684</v>
      </c>
      <c r="AI34" s="21">
        <f>(AG34/AD34)-1</f>
        <v>0.79807692307692335</v>
      </c>
      <c r="AJ34" s="21">
        <f>(AE34/AD34)-1</f>
        <v>1.1258445945945947</v>
      </c>
      <c r="AK34" s="22" t="s">
        <v>116</v>
      </c>
    </row>
    <row r="35" ht="18">
      <c r="A35" s="25" t="s">
        <v>104</v>
      </c>
      <c r="B35" s="26" t="s">
        <v>117</v>
      </c>
      <c r="C35" s="28"/>
      <c r="D35" s="28"/>
      <c r="E35" s="28"/>
      <c r="F35" s="28"/>
      <c r="G35" s="28"/>
      <c r="H35" s="28"/>
      <c r="I35" s="28"/>
      <c r="J35" s="28"/>
      <c r="K35" s="28"/>
      <c r="L35" s="28">
        <v>92.5</v>
      </c>
      <c r="M35" s="28">
        <v>110.91</v>
      </c>
      <c r="N35" s="28">
        <v>107.04000000000001</v>
      </c>
      <c r="O35" s="28">
        <v>112</v>
      </c>
      <c r="P35" s="16">
        <v>107.04000000000001</v>
      </c>
      <c r="Q35" s="16">
        <v>111.43000000000001</v>
      </c>
      <c r="R35" s="16">
        <v>111.43000000000001</v>
      </c>
      <c r="S35" s="17">
        <v>132.33000000000001</v>
      </c>
      <c r="T35" s="16" t="s">
        <v>48</v>
      </c>
      <c r="U35" s="17">
        <v>156</v>
      </c>
      <c r="V35" s="17">
        <v>156</v>
      </c>
      <c r="W35" s="17">
        <v>156</v>
      </c>
      <c r="X35" s="17">
        <v>156</v>
      </c>
      <c r="Y35" s="17">
        <v>151.22</v>
      </c>
      <c r="Z35" s="17">
        <v>151.22</v>
      </c>
      <c r="AA35" s="17">
        <v>149.30000000000001</v>
      </c>
      <c r="AB35" s="17">
        <v>159.99000000000001</v>
      </c>
      <c r="AC35" s="17">
        <v>154.27000000000001</v>
      </c>
      <c r="AD35" s="19">
        <f>MIN(C35:AC35)</f>
        <v>92.5</v>
      </c>
      <c r="AE35" s="20">
        <f>MAX(C35:AC35)</f>
        <v>159.99000000000001</v>
      </c>
      <c r="AF35" s="20">
        <f>AVERAGE(C35:AC35)</f>
        <v>133.80470588235295</v>
      </c>
      <c r="AG35" s="20">
        <f>AVERAGE(Q35:AC35)</f>
        <v>145.4325</v>
      </c>
      <c r="AH35" s="21">
        <f>(AG35/AF35)-1</f>
        <v>8.6901234459352494e-002</v>
      </c>
      <c r="AI35" s="21">
        <f>(AG35/AD35)-1</f>
        <v>0.57224324324324338</v>
      </c>
      <c r="AJ35" s="21">
        <f>(AE35/AD35)-1</f>
        <v>0.72962162162162181</v>
      </c>
      <c r="AK35" s="22" t="s">
        <v>118</v>
      </c>
    </row>
    <row r="36" ht="18">
      <c r="A36" s="2" t="s">
        <v>104</v>
      </c>
      <c r="B36" s="3" t="s">
        <v>119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>
        <v>148.88</v>
      </c>
      <c r="N36" s="16">
        <v>165.36000000000001</v>
      </c>
      <c r="O36" s="18">
        <v>241.99000000000001</v>
      </c>
      <c r="P36" s="17">
        <v>224.84999999999999</v>
      </c>
      <c r="Q36" s="17">
        <v>224.84999999999999</v>
      </c>
      <c r="R36" s="18">
        <v>257.87</v>
      </c>
      <c r="S36" s="17">
        <v>239.99000000000001</v>
      </c>
      <c r="T36" s="16">
        <v>210.08000000000001</v>
      </c>
      <c r="U36" s="17">
        <v>238.24000000000001</v>
      </c>
      <c r="V36" s="17">
        <v>238.24000000000001</v>
      </c>
      <c r="W36" s="17">
        <v>235.97999999999999</v>
      </c>
      <c r="X36" s="17">
        <v>238.24000000000001</v>
      </c>
      <c r="Y36" s="17">
        <v>221.25</v>
      </c>
      <c r="Z36" s="16">
        <v>209.99000000000001</v>
      </c>
      <c r="AA36" s="16">
        <v>199.99000000000001</v>
      </c>
      <c r="AB36" s="16">
        <v>190.90000000000001</v>
      </c>
      <c r="AC36" s="16">
        <v>199.5</v>
      </c>
      <c r="AD36" s="19">
        <f>MIN(C36:AC36)</f>
        <v>148.88</v>
      </c>
      <c r="AE36" s="20">
        <f>MAX(C36:AC36)</f>
        <v>257.87</v>
      </c>
      <c r="AF36" s="20">
        <f>AVERAGE(C36:AC36)</f>
        <v>216.83529411764707</v>
      </c>
      <c r="AG36" s="20">
        <f>AVERAGE(Q36:AC36)</f>
        <v>223.47076923076926</v>
      </c>
      <c r="AH36" s="21">
        <f>(AG36/AF36)-1</f>
        <v>3.060145323723007e-002</v>
      </c>
      <c r="AI36" s="21">
        <f>(AG36/AD36)-1</f>
        <v>0.50101268962096501</v>
      </c>
      <c r="AJ36" s="21">
        <f>(AE36/AD36)-1</f>
        <v>0.73206609349811935</v>
      </c>
      <c r="AK36" s="22" t="s">
        <v>120</v>
      </c>
    </row>
    <row r="37" ht="18">
      <c r="A37" s="2" t="s">
        <v>104</v>
      </c>
      <c r="B37" s="3" t="s">
        <v>121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>
        <v>155</v>
      </c>
      <c r="P37" s="16">
        <v>153.44</v>
      </c>
      <c r="Q37" s="16">
        <v>144.94999999999999</v>
      </c>
      <c r="R37" s="16">
        <v>152.5</v>
      </c>
      <c r="S37" s="16">
        <v>148.87</v>
      </c>
      <c r="T37" s="16">
        <v>147.44999999999999</v>
      </c>
      <c r="U37" s="17">
        <v>162.63999999999999</v>
      </c>
      <c r="V37" s="17">
        <v>164.93000000000001</v>
      </c>
      <c r="W37" s="17">
        <v>161.65000000000001</v>
      </c>
      <c r="X37" s="17">
        <v>164.38999999999999</v>
      </c>
      <c r="Y37" s="17">
        <v>168.28999999999999</v>
      </c>
      <c r="Z37" s="17">
        <v>149.88999999999999</v>
      </c>
      <c r="AA37" s="17">
        <v>148.5</v>
      </c>
      <c r="AB37" s="17">
        <v>148.69</v>
      </c>
      <c r="AC37" s="17">
        <v>149</v>
      </c>
      <c r="AD37" s="19">
        <f>MIN(C37:AC37)</f>
        <v>144.94999999999999</v>
      </c>
      <c r="AE37" s="20">
        <f>MAX(C37:AC37)</f>
        <v>168.28999999999999</v>
      </c>
      <c r="AF37" s="20">
        <f>AVERAGE(C37:AC37)</f>
        <v>154.67933333333335</v>
      </c>
      <c r="AG37" s="20">
        <f>AVERAGE(Q37:AC37)</f>
        <v>154.75</v>
      </c>
      <c r="AH37" s="21">
        <f>(AG37/AF37)-1</f>
        <v>4.568591365361474e-004</v>
      </c>
      <c r="AI37" s="21">
        <f>(AG37/AD37)-1</f>
        <v>6.7609520524318789e-002</v>
      </c>
      <c r="AJ37" s="21">
        <f>(AE37/AD37)-1</f>
        <v>0.16102104173853049</v>
      </c>
      <c r="AK37" s="22" t="s">
        <v>122</v>
      </c>
    </row>
    <row r="38" ht="18">
      <c r="A38" s="25" t="s">
        <v>104</v>
      </c>
      <c r="B38" s="26" t="s">
        <v>123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18">
        <v>199.93000000000001</v>
      </c>
      <c r="P38" s="16">
        <v>161.90000000000001</v>
      </c>
      <c r="Q38" s="16">
        <v>175.99000000000001</v>
      </c>
      <c r="R38" s="24">
        <v>144</v>
      </c>
      <c r="S38" s="18">
        <v>199.40000000000001</v>
      </c>
      <c r="T38" s="18">
        <v>189.99000000000001</v>
      </c>
      <c r="U38" s="18">
        <v>199.94999999999999</v>
      </c>
      <c r="V38" s="17">
        <v>169</v>
      </c>
      <c r="W38" s="18">
        <v>181.33000000000001</v>
      </c>
      <c r="X38" s="17">
        <v>169</v>
      </c>
      <c r="Y38" s="17">
        <v>159</v>
      </c>
      <c r="Z38" s="18">
        <v>195.22999999999999</v>
      </c>
      <c r="AA38" s="18">
        <v>189.99000000000001</v>
      </c>
      <c r="AB38" s="18">
        <v>191.28999999999999</v>
      </c>
      <c r="AC38" s="18">
        <v>179.09</v>
      </c>
      <c r="AD38" s="19">
        <f>MIN(C38:AC38)</f>
        <v>144</v>
      </c>
      <c r="AE38" s="20">
        <f>MAX(C38:AC38)</f>
        <v>199.94999999999999</v>
      </c>
      <c r="AF38" s="20">
        <f>AVERAGE(C38:AC38)</f>
        <v>180.33933333333334</v>
      </c>
      <c r="AG38" s="20">
        <f>AVERAGE(Q38:AC38)</f>
        <v>180.25076923076924</v>
      </c>
      <c r="AH38" s="21">
        <f>(AG38/AF38)-1</f>
        <v>-4.9109698326543771e-004</v>
      </c>
      <c r="AI38" s="21">
        <f>(AG38/AD38)-1</f>
        <v>0.25174145299145301</v>
      </c>
      <c r="AJ38" s="21">
        <f>(AE38/AD38)-1</f>
        <v>0.38854166666666656</v>
      </c>
      <c r="AK38" s="22" t="s">
        <v>124</v>
      </c>
    </row>
    <row r="39" ht="18">
      <c r="A39" s="2" t="s">
        <v>125</v>
      </c>
      <c r="B39" s="3" t="s">
        <v>126</v>
      </c>
      <c r="C39" s="16"/>
      <c r="D39" s="16"/>
      <c r="E39" s="16"/>
      <c r="F39" s="16"/>
      <c r="G39" s="24">
        <v>30731.380000000001</v>
      </c>
      <c r="H39" s="17">
        <v>32127.290000000001</v>
      </c>
      <c r="I39" s="17">
        <v>32790.889999999999</v>
      </c>
      <c r="J39" s="17">
        <v>31941.080000000002</v>
      </c>
      <c r="K39" s="17">
        <v>31941.080000000002</v>
      </c>
      <c r="L39" s="17">
        <v>31941.080000000002</v>
      </c>
      <c r="M39" s="16" t="s">
        <v>80</v>
      </c>
      <c r="N39" s="17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9">
        <f>MIN(C39:AC39)</f>
        <v>30731.380000000001</v>
      </c>
      <c r="AE39" s="20">
        <f>MAX(C39:AC39)</f>
        <v>32790.889999999999</v>
      </c>
      <c r="AF39" s="20">
        <f>AVERAGE(C39:AC39)</f>
        <v>31912.133333333331</v>
      </c>
      <c r="AG39" s="20" t="e">
        <f>AVERAGE(Q39:AC39)</f>
        <v>#NUM!</v>
      </c>
      <c r="AH39" s="21" t="e">
        <f>(AG39/AF39)-1</f>
        <v>#NUM!</v>
      </c>
      <c r="AI39" s="21" t="e">
        <f>(AG39/AD39)-1</f>
        <v>#NUM!</v>
      </c>
      <c r="AJ39" s="21">
        <f>(AE39/AD39)-1</f>
        <v>6.7016515366377982e-002</v>
      </c>
      <c r="AK39" s="22" t="s">
        <v>127</v>
      </c>
    </row>
    <row r="40" ht="18">
      <c r="A40" s="2" t="s">
        <v>128</v>
      </c>
      <c r="B40" s="3" t="s">
        <v>129</v>
      </c>
      <c r="C40" s="16"/>
      <c r="D40" s="16"/>
      <c r="E40" s="16"/>
      <c r="F40" s="16"/>
      <c r="G40" s="24"/>
      <c r="H40" s="17"/>
      <c r="I40" s="17"/>
      <c r="J40" s="17"/>
      <c r="K40" s="17"/>
      <c r="L40" s="17"/>
      <c r="M40" s="17"/>
      <c r="N40" s="17">
        <v>642.82000000000005</v>
      </c>
      <c r="O40" s="17">
        <v>642.82000000000005</v>
      </c>
      <c r="P40" s="18">
        <v>721.67999999999995</v>
      </c>
      <c r="Q40" s="18">
        <v>721.67999999999995</v>
      </c>
      <c r="R40" s="18">
        <v>721.67999999999995</v>
      </c>
      <c r="S40" s="18">
        <v>721.67999999999995</v>
      </c>
      <c r="T40" s="16" t="s">
        <v>48</v>
      </c>
      <c r="U40" s="18">
        <v>1164</v>
      </c>
      <c r="V40" s="18">
        <v>1150.8</v>
      </c>
      <c r="W40" s="18">
        <v>1150.8</v>
      </c>
      <c r="X40" s="18">
        <v>1150.8</v>
      </c>
      <c r="Y40" s="18">
        <v>1150.8</v>
      </c>
      <c r="Z40" s="30">
        <v>1360.8</v>
      </c>
      <c r="AA40" s="30">
        <v>1360.8</v>
      </c>
      <c r="AB40" s="35" t="s">
        <v>48</v>
      </c>
      <c r="AC40" s="30">
        <v>1360.8</v>
      </c>
      <c r="AD40" s="19">
        <f>MIN(C40:AC40)</f>
        <v>642.82000000000005</v>
      </c>
      <c r="AE40" s="20">
        <f>MAX(C40:AC40)</f>
        <v>1360.8</v>
      </c>
      <c r="AF40" s="20">
        <f>AVERAGE(C40:AC40)</f>
        <v>1001.5685714285712</v>
      </c>
      <c r="AG40" s="20">
        <f>AVERAGE(Q40:AC40)</f>
        <v>1092.24</v>
      </c>
      <c r="AH40" s="21">
        <f>(AG40/AF40)-1</f>
        <v>9.0529426699263338e-002</v>
      </c>
      <c r="AI40" s="21">
        <f>(AG40/AD40)-1</f>
        <v>0.69913817242774012</v>
      </c>
      <c r="AJ40" s="21">
        <f>(AE40/AD40)-1</f>
        <v>1.1169223110668614</v>
      </c>
      <c r="AK40" s="22" t="s">
        <v>130</v>
      </c>
    </row>
    <row r="41" ht="18">
      <c r="A41" s="2" t="s">
        <v>128</v>
      </c>
      <c r="B41" s="3" t="s">
        <v>131</v>
      </c>
      <c r="C41" s="16"/>
      <c r="D41" s="16"/>
      <c r="E41" s="16"/>
      <c r="F41" s="16"/>
      <c r="G41" s="24"/>
      <c r="H41" s="17"/>
      <c r="I41" s="17"/>
      <c r="J41" s="17"/>
      <c r="K41" s="17"/>
      <c r="L41" s="17"/>
      <c r="M41" s="17"/>
      <c r="N41" s="17">
        <v>1151.71</v>
      </c>
      <c r="O41" s="17">
        <v>1151.71</v>
      </c>
      <c r="P41" s="18">
        <v>1279.6800000000001</v>
      </c>
      <c r="Q41" s="18">
        <v>1279.6800000000001</v>
      </c>
      <c r="R41" s="18">
        <v>1279.6800000000001</v>
      </c>
      <c r="S41" s="18">
        <v>1279.6800000000001</v>
      </c>
      <c r="T41" s="30">
        <v>2064</v>
      </c>
      <c r="U41" s="30">
        <v>2064</v>
      </c>
      <c r="V41" s="30">
        <v>2016</v>
      </c>
      <c r="W41" s="30">
        <v>2016</v>
      </c>
      <c r="X41" s="30">
        <v>2016</v>
      </c>
      <c r="Y41" s="30">
        <v>2016</v>
      </c>
      <c r="Z41" s="30">
        <v>2171.4000000000001</v>
      </c>
      <c r="AA41" s="30">
        <v>2171.4000000000001</v>
      </c>
      <c r="AB41" s="35" t="s">
        <v>48</v>
      </c>
      <c r="AC41" s="30">
        <v>2171.4000000000001</v>
      </c>
      <c r="AD41" s="19">
        <f>MIN(C41:AC41)</f>
        <v>1151.71</v>
      </c>
      <c r="AE41" s="20">
        <f>MAX(C41:AC41)</f>
        <v>2171.4000000000001</v>
      </c>
      <c r="AF41" s="20">
        <f>AVERAGE(C41:AC41)</f>
        <v>1741.8893333333335</v>
      </c>
      <c r="AG41" s="20">
        <f>AVERAGE(Q41:AC41)</f>
        <v>1878.7700000000004</v>
      </c>
      <c r="AH41" s="21">
        <f>(AG41/AF41)-1</f>
        <v>7.8581723905919887e-002</v>
      </c>
      <c r="AI41" s="21">
        <f>(AG41/AD41)-1</f>
        <v>0.6312873900547884</v>
      </c>
      <c r="AJ41" s="21">
        <f>(AE41/AD41)-1</f>
        <v>0.88537044915820817</v>
      </c>
      <c r="AK41" s="22" t="s">
        <v>130</v>
      </c>
    </row>
    <row r="42" ht="18">
      <c r="A42" s="2" t="s">
        <v>128</v>
      </c>
      <c r="B42" s="3" t="s">
        <v>132</v>
      </c>
      <c r="C42" s="16"/>
      <c r="D42" s="16"/>
      <c r="E42" s="16"/>
      <c r="F42" s="16"/>
      <c r="G42" s="24"/>
      <c r="H42" s="17"/>
      <c r="I42" s="17"/>
      <c r="J42" s="17"/>
      <c r="K42" s="17"/>
      <c r="L42" s="17"/>
      <c r="M42" s="17"/>
      <c r="N42" s="17">
        <v>2159.8299999999999</v>
      </c>
      <c r="O42" s="17">
        <v>2159.8299999999999</v>
      </c>
      <c r="P42" s="18">
        <v>2403.1199999999999</v>
      </c>
      <c r="Q42" s="18">
        <v>2403.1199999999999</v>
      </c>
      <c r="R42" s="18">
        <v>2403.1199999999999</v>
      </c>
      <c r="S42" s="18">
        <v>2403.1199999999999</v>
      </c>
      <c r="T42" s="30">
        <v>3876</v>
      </c>
      <c r="U42" s="35" t="s">
        <v>48</v>
      </c>
      <c r="V42" s="35" t="s">
        <v>48</v>
      </c>
      <c r="W42" s="35" t="s">
        <v>48</v>
      </c>
      <c r="X42" s="35" t="s">
        <v>48</v>
      </c>
      <c r="Y42" s="35" t="s">
        <v>48</v>
      </c>
      <c r="Z42" s="35" t="s">
        <v>48</v>
      </c>
      <c r="AA42" s="35" t="s">
        <v>48</v>
      </c>
      <c r="AB42" s="35" t="s">
        <v>48</v>
      </c>
      <c r="AC42" s="35" t="s">
        <v>48</v>
      </c>
      <c r="AD42" s="19">
        <f>MIN(C42:AC42)</f>
        <v>2159.8299999999999</v>
      </c>
      <c r="AE42" s="20">
        <f>MAX(C42:AC42)</f>
        <v>3876</v>
      </c>
      <c r="AF42" s="20">
        <f>AVERAGE(C42:AC42)</f>
        <v>2544.02</v>
      </c>
      <c r="AG42" s="20">
        <f>AVERAGE(Q42:AC42)</f>
        <v>2771.3400000000001</v>
      </c>
      <c r="AH42" s="21">
        <f>(AG42/AF42)-1</f>
        <v>8.9354643438337877e-002</v>
      </c>
      <c r="AI42" s="21">
        <f>(AG42/AD42)-1</f>
        <v>0.28312876476389359</v>
      </c>
      <c r="AJ42" s="21">
        <f>(AE42/AD42)-1</f>
        <v>0.79458568498446636</v>
      </c>
      <c r="AK42" s="22" t="s">
        <v>130</v>
      </c>
    </row>
    <row r="43" ht="18">
      <c r="A43" s="2" t="s">
        <v>133</v>
      </c>
      <c r="B43" s="3" t="s">
        <v>134</v>
      </c>
      <c r="C43" s="16"/>
      <c r="D43" s="16"/>
      <c r="E43" s="16"/>
      <c r="F43" s="16"/>
      <c r="G43" s="24"/>
      <c r="H43" s="17"/>
      <c r="I43" s="17"/>
      <c r="J43" s="17"/>
      <c r="K43" s="17"/>
      <c r="L43" s="17"/>
      <c r="M43" s="17"/>
      <c r="N43" s="17">
        <v>1310.1800000000001</v>
      </c>
      <c r="O43" s="17">
        <v>1320.5999999999999</v>
      </c>
      <c r="P43" s="18">
        <v>1320.5999999999999</v>
      </c>
      <c r="Q43" s="18">
        <v>1320.5999999999999</v>
      </c>
      <c r="R43" s="18">
        <v>1320.5999999999999</v>
      </c>
      <c r="S43" s="18">
        <v>1320.5999999999999</v>
      </c>
      <c r="T43" s="30">
        <v>2130</v>
      </c>
      <c r="U43" s="30">
        <v>2130</v>
      </c>
      <c r="V43" s="30">
        <v>2218.4400000000001</v>
      </c>
      <c r="W43" s="30">
        <v>2218.4400000000001</v>
      </c>
      <c r="X43" s="30">
        <v>2218.4400000000001</v>
      </c>
      <c r="Y43" s="30">
        <v>2218.4400000000001</v>
      </c>
      <c r="Z43" s="30">
        <v>2804.7600000000002</v>
      </c>
      <c r="AA43" s="30">
        <v>2804.7600000000002</v>
      </c>
      <c r="AB43" s="35" t="s">
        <v>48</v>
      </c>
      <c r="AC43" s="30">
        <v>2804.7600000000002</v>
      </c>
      <c r="AD43" s="19">
        <f>MIN(C43:AC43)</f>
        <v>1310.1800000000001</v>
      </c>
      <c r="AE43" s="20">
        <f>MAX(C43:AC43)</f>
        <v>2804.7600000000002</v>
      </c>
      <c r="AF43" s="20">
        <f>AVERAGE(C43:AC43)</f>
        <v>1964.0813333333333</v>
      </c>
      <c r="AG43" s="20">
        <f>AVERAGE(Q43:AC43)</f>
        <v>2125.8200000000002</v>
      </c>
      <c r="AH43" s="21">
        <f>(AG43/AF43)-1</f>
        <v>8.2348253059445709e-002</v>
      </c>
      <c r="AI43" s="21">
        <f>(AG43/AD43)-1</f>
        <v>0.62254041429421925</v>
      </c>
      <c r="AJ43" s="21">
        <f>(AE43/AD43)-1</f>
        <v>1.1407440199056618</v>
      </c>
      <c r="AK43" s="22" t="s">
        <v>130</v>
      </c>
    </row>
    <row r="44" ht="18">
      <c r="A44" s="2" t="s">
        <v>135</v>
      </c>
      <c r="B44" s="3" t="s">
        <v>136</v>
      </c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8">
        <v>1896</v>
      </c>
      <c r="U44" s="18">
        <v>1896</v>
      </c>
      <c r="V44" s="18">
        <v>1592.6400000000001</v>
      </c>
      <c r="W44" s="18">
        <v>1592.6400000000001</v>
      </c>
      <c r="X44" s="18">
        <v>1592.6400000000001</v>
      </c>
      <c r="Y44" s="18">
        <v>1592.6400000000001</v>
      </c>
      <c r="Z44" s="18">
        <v>1592.6400000000001</v>
      </c>
      <c r="AA44" s="18">
        <v>1592.6400000000001</v>
      </c>
      <c r="AB44" s="18">
        <v>1592.6400000000001</v>
      </c>
      <c r="AC44" s="18">
        <v>1592.6400000000001</v>
      </c>
      <c r="AD44" s="19">
        <f>MIN(C44:AC44)</f>
        <v>1592.6400000000001</v>
      </c>
      <c r="AE44" s="20">
        <f>MAX(C44:AC44)</f>
        <v>1896</v>
      </c>
      <c r="AF44" s="20">
        <f>AVERAGE(C44:AC44)</f>
        <v>1653.3119999999999</v>
      </c>
      <c r="AG44" s="20">
        <f>AVERAGE(Q44:AC44)</f>
        <v>1653.3119999999999</v>
      </c>
      <c r="AH44" s="21">
        <f>(AG44/AF44)-1</f>
        <v>0</v>
      </c>
      <c r="AI44" s="21">
        <f>(AG44/AD44)-1</f>
        <v>3.809523809523796e-002</v>
      </c>
      <c r="AJ44" s="21">
        <f>(AE44/AD44)-1</f>
        <v>0.19047619047619047</v>
      </c>
      <c r="AK44" s="22" t="s">
        <v>130</v>
      </c>
    </row>
    <row r="45" ht="18">
      <c r="A45" s="2" t="s">
        <v>135</v>
      </c>
      <c r="B45" s="3" t="s">
        <v>137</v>
      </c>
      <c r="C45" s="16"/>
      <c r="D45" s="16"/>
      <c r="E45" s="16"/>
      <c r="F45" s="16"/>
      <c r="G45" s="24"/>
      <c r="H45" s="17"/>
      <c r="I45" s="17"/>
      <c r="J45" s="17"/>
      <c r="K45" s="17"/>
      <c r="L45" s="17"/>
      <c r="M45" s="17"/>
      <c r="N45" s="17">
        <v>1480.5599999999999</v>
      </c>
      <c r="O45" s="17">
        <v>1480.5599999999999</v>
      </c>
      <c r="P45" s="18">
        <v>1628.6199999999999</v>
      </c>
      <c r="Q45" s="18">
        <v>1628.6199999999999</v>
      </c>
      <c r="R45" s="18">
        <v>1628.6199999999999</v>
      </c>
      <c r="S45" s="18">
        <v>1628.6199999999999</v>
      </c>
      <c r="T45" s="16" t="s">
        <v>48</v>
      </c>
      <c r="U45" s="16" t="s">
        <v>48</v>
      </c>
      <c r="V45" s="16" t="s">
        <v>48</v>
      </c>
      <c r="W45" s="18">
        <v>1985.76</v>
      </c>
      <c r="X45" s="18">
        <v>1985.76</v>
      </c>
      <c r="Y45" s="18">
        <v>1985.76</v>
      </c>
      <c r="Z45" s="16" t="s">
        <v>48</v>
      </c>
      <c r="AA45" s="18">
        <v>1985.76</v>
      </c>
      <c r="AB45" s="18">
        <v>1985.76</v>
      </c>
      <c r="AC45" s="16" t="s">
        <v>48</v>
      </c>
      <c r="AD45" s="19">
        <f>MIN(C45:AC45)</f>
        <v>1480.5599999999999</v>
      </c>
      <c r="AE45" s="20">
        <f>MAX(C45:AC45)</f>
        <v>1985.76</v>
      </c>
      <c r="AF45" s="20">
        <f>AVERAGE(C45:AC45)</f>
        <v>1764.0363636363634</v>
      </c>
      <c r="AG45" s="20">
        <f>AVERAGE(Q45:AC45)</f>
        <v>1851.8325</v>
      </c>
      <c r="AH45" s="21">
        <f>(AG45/AF45)-1</f>
        <v>4.9770026385768329e-002</v>
      </c>
      <c r="AI45" s="21">
        <f>(AG45/AD45)-1</f>
        <v>0.25076491327605765</v>
      </c>
      <c r="AJ45" s="21">
        <f>(AE45/AD45)-1</f>
        <v>0.34122224023342529</v>
      </c>
      <c r="AK45" s="22" t="s">
        <v>130</v>
      </c>
    </row>
    <row r="46" ht="18">
      <c r="A46" s="2" t="s">
        <v>138</v>
      </c>
      <c r="B46" s="3" t="s">
        <v>139</v>
      </c>
      <c r="C46" s="16"/>
      <c r="D46" s="16">
        <v>339.45999999999998</v>
      </c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9">
        <f>MIN(C46:AC46)</f>
        <v>339.45999999999998</v>
      </c>
      <c r="AE46" s="20">
        <f>MAX(C46:AC46)</f>
        <v>339.45999999999998</v>
      </c>
      <c r="AF46" s="20">
        <f>AVERAGE(C46:AC46)</f>
        <v>339.45999999999998</v>
      </c>
      <c r="AG46" s="20" t="e">
        <f>AVERAGE(Q46:AC46)</f>
        <v>#NUM!</v>
      </c>
      <c r="AH46" s="21" t="e">
        <f>(AG46/AF46)-1</f>
        <v>#NUM!</v>
      </c>
      <c r="AI46" s="21" t="e">
        <f>(AG46/AD46)-1</f>
        <v>#NUM!</v>
      </c>
      <c r="AJ46" s="21">
        <f>(AE46/AD46)-1</f>
        <v>0</v>
      </c>
    </row>
    <row r="47" ht="18">
      <c r="A47" s="2" t="s">
        <v>138</v>
      </c>
      <c r="B47" s="3" t="s">
        <v>140</v>
      </c>
      <c r="C47" s="16"/>
      <c r="D47" s="16"/>
      <c r="E47" s="16"/>
      <c r="F47" s="16"/>
      <c r="G47" s="24">
        <v>378.99000000000001</v>
      </c>
      <c r="H47" s="16">
        <v>378.99000000000001</v>
      </c>
      <c r="I47" s="16">
        <v>378.99000000000001</v>
      </c>
      <c r="J47" s="16">
        <v>378.99000000000001</v>
      </c>
      <c r="K47" s="16">
        <v>378.99000000000001</v>
      </c>
      <c r="L47" s="16">
        <v>378.99000000000001</v>
      </c>
      <c r="M47" s="16">
        <v>378.99000000000001</v>
      </c>
      <c r="N47" s="16">
        <v>378.99000000000001</v>
      </c>
      <c r="O47" s="16">
        <v>378.99000000000001</v>
      </c>
      <c r="P47" s="16">
        <v>378.99000000000001</v>
      </c>
      <c r="Q47" s="16">
        <v>378.99000000000001</v>
      </c>
      <c r="R47" s="16">
        <v>378.99000000000001</v>
      </c>
      <c r="S47" s="16">
        <v>378.99000000000001</v>
      </c>
      <c r="T47" s="16">
        <v>378.99000000000001</v>
      </c>
      <c r="U47" s="16">
        <v>378.99000000000001</v>
      </c>
      <c r="V47" s="16">
        <v>378.99000000000001</v>
      </c>
      <c r="W47" s="16">
        <v>378.99000000000001</v>
      </c>
      <c r="X47" s="16">
        <v>378.99000000000001</v>
      </c>
      <c r="Y47" s="16">
        <v>378.99000000000001</v>
      </c>
      <c r="Z47" s="16">
        <v>378.99000000000001</v>
      </c>
      <c r="AA47" s="16">
        <v>378.99000000000001</v>
      </c>
      <c r="AB47" s="16">
        <v>378.99000000000001</v>
      </c>
      <c r="AC47" s="16">
        <v>378.99000000000001</v>
      </c>
      <c r="AD47" s="19">
        <f>MIN(C47:AC47)</f>
        <v>378.99000000000001</v>
      </c>
      <c r="AE47" s="20">
        <f>MAX(C47:AC47)</f>
        <v>378.99000000000001</v>
      </c>
      <c r="AF47" s="20">
        <f>AVERAGE(C47:AC47)</f>
        <v>378.98999999999984</v>
      </c>
      <c r="AG47" s="20">
        <f>AVERAGE(Q47:AC47)</f>
        <v>378.9899999999999</v>
      </c>
      <c r="AH47" s="21">
        <f>(AG47/AF47)-1</f>
        <v>2.2204460492503131e-016</v>
      </c>
      <c r="AI47" s="21">
        <f>(AG47/AD47)-1</f>
        <v>-3.3306690738754696e-016</v>
      </c>
      <c r="AJ47" s="21">
        <f>(AE47/AD47)-1</f>
        <v>0</v>
      </c>
      <c r="AK47" s="22" t="s">
        <v>141</v>
      </c>
    </row>
    <row r="48" ht="18">
      <c r="A48" s="25" t="s">
        <v>142</v>
      </c>
      <c r="B48" s="26" t="s">
        <v>143</v>
      </c>
      <c r="C48" s="28"/>
      <c r="D48" s="28"/>
      <c r="E48" s="28"/>
      <c r="F48" s="28"/>
      <c r="G48" s="28">
        <v>88.329999999999998</v>
      </c>
      <c r="H48" s="28">
        <v>88.329999999999998</v>
      </c>
      <c r="I48" s="28">
        <v>88.329999999999998</v>
      </c>
      <c r="J48" s="28">
        <v>88.329999999999998</v>
      </c>
      <c r="K48" s="28">
        <v>88.329999999999998</v>
      </c>
      <c r="L48" s="28">
        <v>88.329999999999998</v>
      </c>
      <c r="M48" s="28">
        <v>88.329999999999998</v>
      </c>
      <c r="N48" s="28">
        <v>88.329999999999998</v>
      </c>
      <c r="O48" s="28">
        <v>88.329999999999998</v>
      </c>
      <c r="P48" s="16">
        <v>88.329999999999998</v>
      </c>
      <c r="Q48" s="17">
        <v>118.58</v>
      </c>
      <c r="R48" s="17">
        <v>118.58</v>
      </c>
      <c r="S48" s="17">
        <v>118.58</v>
      </c>
      <c r="T48" s="17">
        <v>117.58</v>
      </c>
      <c r="U48" s="17">
        <v>117.58</v>
      </c>
      <c r="V48" s="17">
        <v>119.59</v>
      </c>
      <c r="W48" s="18">
        <v>128.36000000000001</v>
      </c>
      <c r="X48" s="18">
        <v>128.36000000000001</v>
      </c>
      <c r="Y48" s="30">
        <v>191.19</v>
      </c>
      <c r="Z48" s="30">
        <v>191.19</v>
      </c>
      <c r="AA48" s="30">
        <v>191.19</v>
      </c>
      <c r="AB48" s="30">
        <v>181.09999999999999</v>
      </c>
      <c r="AC48" s="30">
        <v>181.09999999999999</v>
      </c>
      <c r="AD48" s="19">
        <f>MIN(C48:AC48)</f>
        <v>88.329999999999998</v>
      </c>
      <c r="AE48" s="20">
        <f>MAX(C48:AC48)</f>
        <v>191.19</v>
      </c>
      <c r="AF48" s="20">
        <f>AVERAGE(C48:AC48)</f>
        <v>121.14260869565219</v>
      </c>
      <c r="AG48" s="20">
        <f>AVERAGE(Q48:AC48)</f>
        <v>146.38307692307691</v>
      </c>
      <c r="AH48" s="21">
        <f>(AG48/AF48)-1</f>
        <v>0.20835334899248048</v>
      </c>
      <c r="AI48" s="21">
        <f>(AG48/AD48)-1</f>
        <v>0.65722944552334339</v>
      </c>
      <c r="AJ48" s="21">
        <f>(AE48/AD48)-1</f>
        <v>1.1644967734631497</v>
      </c>
      <c r="AK48" s="22" t="s">
        <v>144</v>
      </c>
    </row>
    <row r="49" ht="18">
      <c r="A49" s="2" t="s">
        <v>145</v>
      </c>
      <c r="B49" s="3" t="s">
        <v>146</v>
      </c>
      <c r="C49" s="16"/>
      <c r="D49" s="16">
        <v>39.950000000000003</v>
      </c>
      <c r="E49" s="16"/>
      <c r="F49" s="16"/>
      <c r="G49" s="16">
        <v>39.950000000000003</v>
      </c>
      <c r="H49" s="24">
        <v>29.989999999999998</v>
      </c>
      <c r="I49" s="16">
        <v>32.990000000000002</v>
      </c>
      <c r="J49" s="16">
        <v>39.990000000000002</v>
      </c>
      <c r="K49" s="16">
        <v>39.990000000000002</v>
      </c>
      <c r="L49" s="16">
        <v>39.990000000000002</v>
      </c>
      <c r="M49" s="16">
        <v>36.990000000000002</v>
      </c>
      <c r="N49" s="16">
        <v>34.5</v>
      </c>
      <c r="O49" s="16">
        <v>34.5</v>
      </c>
      <c r="P49" s="16">
        <v>32.5</v>
      </c>
      <c r="Q49" s="16">
        <v>29.989999999999998</v>
      </c>
      <c r="R49" s="16">
        <v>29.989999999999998</v>
      </c>
      <c r="S49" s="16">
        <v>44.979999999999997</v>
      </c>
      <c r="T49" s="16">
        <v>44.979999999999997</v>
      </c>
      <c r="U49" s="16">
        <v>39.990000000000002</v>
      </c>
      <c r="V49" s="33">
        <v>32.990000000000002</v>
      </c>
      <c r="W49" s="33">
        <v>32.990000000000002</v>
      </c>
      <c r="X49" s="35">
        <v>34.759999999999998</v>
      </c>
      <c r="Y49" s="35">
        <v>40.039999999999999</v>
      </c>
      <c r="Z49" s="35">
        <v>39.899999999999999</v>
      </c>
      <c r="AA49" s="35">
        <v>39.899999999999999</v>
      </c>
      <c r="AB49" s="35">
        <v>36.170000000000002</v>
      </c>
      <c r="AC49" s="33">
        <v>29.149999999999999</v>
      </c>
      <c r="AD49" s="19">
        <f>MIN(C49:AC49)</f>
        <v>29.149999999999999</v>
      </c>
      <c r="AE49" s="20">
        <f>MAX(C49:AC49)</f>
        <v>44.979999999999997</v>
      </c>
      <c r="AF49" s="20">
        <f>AVERAGE(C49:AC49)</f>
        <v>36.548749999999998</v>
      </c>
      <c r="AG49" s="20">
        <f>AVERAGE(Q49:AC49)</f>
        <v>36.60230769230769</v>
      </c>
      <c r="AH49" s="21">
        <f>(AG49/AF49)-1</f>
        <v>1.4653768544119483e-003</v>
      </c>
      <c r="AI49" s="21">
        <f>(AG49/AD49)-1</f>
        <v>0.25565378018208196</v>
      </c>
      <c r="AJ49" s="21">
        <f>(AE49/AD49)-1</f>
        <v>0.54305317324185243</v>
      </c>
      <c r="AK49" s="22" t="s">
        <v>147</v>
      </c>
    </row>
    <row r="50" ht="18">
      <c r="A50" s="2" t="s">
        <v>148</v>
      </c>
      <c r="B50" s="3" t="s">
        <v>149</v>
      </c>
      <c r="C50" s="16"/>
      <c r="D50" s="16">
        <v>31.989999999999998</v>
      </c>
      <c r="E50" s="16"/>
      <c r="F50" s="16"/>
      <c r="G50" s="33">
        <v>27.489999999999998</v>
      </c>
      <c r="H50" s="16">
        <v>29.989999999999998</v>
      </c>
      <c r="I50" s="16">
        <v>35.990000000000002</v>
      </c>
      <c r="J50" s="33">
        <v>25.989999999999998</v>
      </c>
      <c r="K50" s="33">
        <v>25.989999999999998</v>
      </c>
      <c r="L50" s="33">
        <v>25.989999999999998</v>
      </c>
      <c r="M50" s="33">
        <v>25.989999999999998</v>
      </c>
      <c r="N50" s="17">
        <v>36.43</v>
      </c>
      <c r="O50" s="18">
        <v>42</v>
      </c>
      <c r="P50" s="17">
        <v>36.369999999999997</v>
      </c>
      <c r="Q50" s="17">
        <v>35.119999999999997</v>
      </c>
      <c r="R50" s="17">
        <v>36.409999999999997</v>
      </c>
      <c r="S50" s="17">
        <v>36.530000000000001</v>
      </c>
      <c r="T50" s="33">
        <v>27.989999999999998</v>
      </c>
      <c r="U50" s="33">
        <v>27.989999999999998</v>
      </c>
      <c r="V50" s="35">
        <v>30.989999999999998</v>
      </c>
      <c r="W50" s="35">
        <v>30.989999999999998</v>
      </c>
      <c r="X50" s="34">
        <v>36.530000000000001</v>
      </c>
      <c r="Y50" s="35">
        <v>30.989999999999998</v>
      </c>
      <c r="Z50" s="35">
        <v>30.989999999999998</v>
      </c>
      <c r="AA50" s="35">
        <v>30.989999999999998</v>
      </c>
      <c r="AB50" s="35">
        <v>36.100000000000001</v>
      </c>
      <c r="AC50" s="35">
        <v>36.100000000000001</v>
      </c>
      <c r="AD50" s="19">
        <f>MIN(C50:AC50)</f>
        <v>25.989999999999998</v>
      </c>
      <c r="AE50" s="20">
        <f>MAX(C50:AC50)</f>
        <v>42</v>
      </c>
      <c r="AF50" s="20">
        <f>AVERAGE(C50:AC50)</f>
        <v>32.164166666666667</v>
      </c>
      <c r="AG50" s="20">
        <f>AVERAGE(Q50:AC50)</f>
        <v>32.901538461538472</v>
      </c>
      <c r="AH50" s="21">
        <f>(AG50/AF50)-1</f>
        <v>2.2925257243987085e-002</v>
      </c>
      <c r="AI50" s="21">
        <f>(AG50/AD50)-1</f>
        <v>0.26593068339894099</v>
      </c>
      <c r="AJ50" s="21">
        <f>(AE50/AD50)-1</f>
        <v>0.61600615621392851</v>
      </c>
      <c r="AK50" s="22" t="s">
        <v>150</v>
      </c>
    </row>
    <row r="51" ht="18">
      <c r="A51" s="2" t="s">
        <v>151</v>
      </c>
      <c r="B51" s="3" t="s">
        <v>152</v>
      </c>
      <c r="C51" s="16"/>
      <c r="D51" s="16">
        <v>43.990000000000002</v>
      </c>
      <c r="E51" s="16"/>
      <c r="F51" s="16"/>
      <c r="G51" s="16">
        <v>22.989999999999998</v>
      </c>
      <c r="H51" s="24">
        <v>21.690000000000001</v>
      </c>
      <c r="I51" s="16">
        <v>21.690000000000001</v>
      </c>
      <c r="J51" s="16">
        <v>36.170000000000002</v>
      </c>
      <c r="K51" s="16">
        <v>42.020000000000003</v>
      </c>
      <c r="L51" s="16">
        <v>39.799999999999997</v>
      </c>
      <c r="M51" s="16">
        <v>36.759999999999998</v>
      </c>
      <c r="N51" s="16">
        <v>24.899999999999999</v>
      </c>
      <c r="O51" s="16">
        <v>22.899999999999999</v>
      </c>
      <c r="P51" s="16">
        <v>22.899999999999999</v>
      </c>
      <c r="Q51" s="16">
        <v>34.689999999999998</v>
      </c>
      <c r="R51" s="16">
        <v>34.689999999999998</v>
      </c>
      <c r="S51" s="16">
        <v>24.899999999999999</v>
      </c>
      <c r="T51" s="16">
        <v>24.899999999999999</v>
      </c>
      <c r="U51" s="16">
        <v>24.899999999999999</v>
      </c>
      <c r="V51" s="33">
        <v>21.690000000000001</v>
      </c>
      <c r="W51" s="35">
        <v>28.899999999999999</v>
      </c>
      <c r="X51" s="35">
        <v>28.899999999999999</v>
      </c>
      <c r="Y51" s="35">
        <v>28.899999999999999</v>
      </c>
      <c r="Z51" s="35">
        <v>28.899999999999999</v>
      </c>
      <c r="AA51" s="35">
        <v>24.899999999999999</v>
      </c>
      <c r="AB51" s="35">
        <v>24.899999999999999</v>
      </c>
      <c r="AC51" s="35">
        <v>24.899999999999999</v>
      </c>
      <c r="AD51" s="19">
        <f>MIN(C51:AC51)</f>
        <v>21.690000000000001</v>
      </c>
      <c r="AE51" s="20">
        <f>MAX(C51:AC51)</f>
        <v>43.990000000000002</v>
      </c>
      <c r="AF51" s="20">
        <f>AVERAGE(C51:AC51)</f>
        <v>28.828333333333322</v>
      </c>
      <c r="AG51" s="20">
        <f>AVERAGE(Q51:AC51)</f>
        <v>27.389999999999993</v>
      </c>
      <c r="AH51" s="21">
        <f>(AG51/AF51)-1</f>
        <v>-4.9893045036711436e-002</v>
      </c>
      <c r="AI51" s="21">
        <f>(AG51/AD51)-1</f>
        <v>0.26279391424619614</v>
      </c>
      <c r="AJ51" s="21">
        <f>(AE51/AD51)-1</f>
        <v>1.0281235592438911</v>
      </c>
      <c r="AK51" s="22" t="s">
        <v>153</v>
      </c>
    </row>
    <row r="52" ht="54">
      <c r="A52" s="2" t="s">
        <v>94</v>
      </c>
      <c r="B52" s="3" t="s">
        <v>154</v>
      </c>
      <c r="C52" s="16"/>
      <c r="D52" s="16"/>
      <c r="E52" s="16"/>
      <c r="F52" s="16">
        <v>1714.0799999999999</v>
      </c>
      <c r="G52" s="16">
        <v>1714.0799999999999</v>
      </c>
      <c r="H52" s="16">
        <v>1714.0799999999999</v>
      </c>
      <c r="I52" s="16">
        <v>1714.0799999999999</v>
      </c>
      <c r="J52" s="16">
        <v>1714.0799999999999</v>
      </c>
      <c r="K52" s="16" t="s">
        <v>48</v>
      </c>
      <c r="L52" s="16" t="s">
        <v>48</v>
      </c>
      <c r="M52" s="24">
        <v>1449.28</v>
      </c>
      <c r="N52" s="17">
        <v>1820.77</v>
      </c>
      <c r="O52" s="17">
        <v>1820.77</v>
      </c>
      <c r="P52" s="17">
        <v>1820.77</v>
      </c>
      <c r="Q52" s="17">
        <v>1820.77</v>
      </c>
      <c r="R52" s="16">
        <v>1669.97</v>
      </c>
      <c r="S52" s="16">
        <v>1669.76</v>
      </c>
      <c r="T52" s="16">
        <v>1669.76</v>
      </c>
      <c r="U52" s="16">
        <v>1611.6900000000001</v>
      </c>
      <c r="V52" s="16">
        <v>1611.4100000000001</v>
      </c>
      <c r="W52" s="16">
        <v>1611.4100000000001</v>
      </c>
      <c r="X52" s="16">
        <v>1611.4100000000001</v>
      </c>
      <c r="Y52" s="17">
        <v>1820.77</v>
      </c>
      <c r="Z52" s="17">
        <v>1820.77</v>
      </c>
      <c r="AA52" s="17">
        <v>1820.77</v>
      </c>
      <c r="AB52" s="17">
        <v>1820.8099999999999</v>
      </c>
      <c r="AC52" s="17">
        <v>1820.8099999999999</v>
      </c>
      <c r="AD52" s="19">
        <f>MIN(C52:AC52)</f>
        <v>1449.28</v>
      </c>
      <c r="AE52" s="20">
        <f>MAX(C52:AC52)</f>
        <v>1820.8099999999999</v>
      </c>
      <c r="AF52" s="20">
        <f>AVERAGE(C52:AC52)</f>
        <v>1721.004545454545</v>
      </c>
      <c r="AG52" s="20">
        <f>AVERAGE(Q52:AC52)</f>
        <v>1721.5469230769233</v>
      </c>
      <c r="AH52" s="21">
        <f>(AG52/AF52)-1</f>
        <v>3.1515176633956088e-004</v>
      </c>
      <c r="AI52" s="21">
        <f>(AG52/AD52)-1</f>
        <v>0.18786357575963475</v>
      </c>
      <c r="AJ52" s="21">
        <f>(AE52/AD52)-1</f>
        <v>0.25635487966438508</v>
      </c>
      <c r="AK52" s="1" t="s">
        <v>155</v>
      </c>
    </row>
    <row r="53" ht="18">
      <c r="A53" s="25" t="s">
        <v>156</v>
      </c>
      <c r="B53" s="26" t="s">
        <v>157</v>
      </c>
      <c r="C53" s="28"/>
      <c r="D53" s="28"/>
      <c r="E53" s="28"/>
      <c r="F53" s="28"/>
      <c r="G53" s="28">
        <v>33.890000000000001</v>
      </c>
      <c r="H53" s="28">
        <v>33.890000000000001</v>
      </c>
      <c r="I53" s="28">
        <v>33.890000000000001</v>
      </c>
      <c r="J53" s="28">
        <v>33.890000000000001</v>
      </c>
      <c r="K53" s="28">
        <v>33.890000000000001</v>
      </c>
      <c r="L53" s="28">
        <v>38.039999999999999</v>
      </c>
      <c r="M53" s="28">
        <v>38.369999999999997</v>
      </c>
      <c r="N53" s="28">
        <v>38.369999999999997</v>
      </c>
      <c r="O53" s="28">
        <v>38.369999999999997</v>
      </c>
      <c r="P53" s="16">
        <v>38.369999999999997</v>
      </c>
      <c r="Q53" s="16">
        <v>38.369999999999997</v>
      </c>
      <c r="R53" s="16">
        <v>39.390000000000001</v>
      </c>
      <c r="S53" s="16">
        <v>39.390000000000001</v>
      </c>
      <c r="T53" s="16">
        <v>43.210000000000001</v>
      </c>
      <c r="U53" s="16">
        <v>39.899999999999999</v>
      </c>
      <c r="V53" s="33">
        <v>31.989999999999998</v>
      </c>
      <c r="W53" s="33">
        <v>30.989999999999998</v>
      </c>
      <c r="X53" s="35">
        <v>39.899999999999999</v>
      </c>
      <c r="Y53" s="35">
        <v>43.990000000000002</v>
      </c>
      <c r="Z53" s="35">
        <v>36.990000000000002</v>
      </c>
      <c r="AA53" s="35">
        <v>36.990000000000002</v>
      </c>
      <c r="AB53" s="35">
        <v>36.990000000000002</v>
      </c>
      <c r="AC53" s="35">
        <v>36.990000000000002</v>
      </c>
      <c r="AD53" s="19">
        <f>MIN(C53:AC53)</f>
        <v>30.989999999999998</v>
      </c>
      <c r="AE53" s="20">
        <f>MAX(C53:AC53)</f>
        <v>43.990000000000002</v>
      </c>
      <c r="AF53" s="20">
        <f>AVERAGE(C53:AC53)</f>
        <v>37.219999999999999</v>
      </c>
      <c r="AG53" s="20">
        <f>AVERAGE(Q53:AC53)</f>
        <v>38.083846153846153</v>
      </c>
      <c r="AH53" s="21">
        <f>(AG53/AF53)-1</f>
        <v>2.3209192741702189e-002</v>
      </c>
      <c r="AI53" s="21">
        <f>(AG53/AD53)-1</f>
        <v>0.22890758805570033</v>
      </c>
      <c r="AJ53" s="21">
        <f>(AE53/AD53)-1</f>
        <v>0.41949015811552126</v>
      </c>
      <c r="AK53" s="22" t="s">
        <v>158</v>
      </c>
    </row>
    <row r="54" ht="18">
      <c r="A54" s="2" t="s">
        <v>159</v>
      </c>
      <c r="B54" s="3" t="s">
        <v>160</v>
      </c>
      <c r="C54" s="16"/>
      <c r="D54" s="16"/>
      <c r="E54" s="16"/>
      <c r="F54" s="16"/>
      <c r="G54" s="16">
        <v>90.739999999999995</v>
      </c>
      <c r="H54" s="16">
        <v>90.739999999999995</v>
      </c>
      <c r="I54" s="24">
        <v>89.950000000000003</v>
      </c>
      <c r="J54" s="24">
        <v>89.950000000000003</v>
      </c>
      <c r="K54" s="24">
        <v>89.950000000000003</v>
      </c>
      <c r="L54" s="16">
        <v>93.280000000000001</v>
      </c>
      <c r="M54" s="16">
        <v>92.060000000000002</v>
      </c>
      <c r="N54" s="17">
        <v>88.049999999999997</v>
      </c>
      <c r="O54" s="17">
        <v>89.950000000000003</v>
      </c>
      <c r="P54" s="17">
        <v>89.950000000000003</v>
      </c>
      <c r="Q54" s="16">
        <v>81.689999999999998</v>
      </c>
      <c r="R54" s="16">
        <v>84.900000000000006</v>
      </c>
      <c r="S54" s="17">
        <v>89.950000000000003</v>
      </c>
      <c r="T54" s="17">
        <v>89.650000000000006</v>
      </c>
      <c r="U54" s="16">
        <v>84.900000000000006</v>
      </c>
      <c r="V54" s="16">
        <v>83.079999999999998</v>
      </c>
      <c r="W54" s="16">
        <v>84.099999999999994</v>
      </c>
      <c r="X54" s="16">
        <v>84.680000000000007</v>
      </c>
      <c r="Y54" s="16">
        <v>85.209999999999994</v>
      </c>
      <c r="Z54" s="16">
        <v>85.209999999999994</v>
      </c>
      <c r="AA54" s="16">
        <v>85.150000000000006</v>
      </c>
      <c r="AB54" s="16">
        <v>85.040000000000006</v>
      </c>
      <c r="AC54" s="17">
        <v>109.84999999999999</v>
      </c>
      <c r="AD54" s="19">
        <f>MIN(C54:AC54)</f>
        <v>81.689999999999998</v>
      </c>
      <c r="AE54" s="20">
        <f>MAX(C54:AC54)</f>
        <v>109.84999999999999</v>
      </c>
      <c r="AF54" s="20">
        <f>AVERAGE(C54:AC54)</f>
        <v>88.610000000000014</v>
      </c>
      <c r="AG54" s="20">
        <f>AVERAGE(Q54:AC54)</f>
        <v>87.185384615384621</v>
      </c>
      <c r="AH54" s="21">
        <f>(AG54/AF54)-1</f>
        <v>-1.6077365812158795e-002</v>
      </c>
      <c r="AI54" s="21">
        <f>(AG54/AD54)-1</f>
        <v>6.7271203517990319e-002</v>
      </c>
      <c r="AJ54" s="21">
        <f>(AE54/AD54)-1</f>
        <v>0.34471783572040637</v>
      </c>
      <c r="AK54" s="1" t="s">
        <v>161</v>
      </c>
    </row>
    <row r="55" ht="18">
      <c r="A55" s="2" t="s">
        <v>162</v>
      </c>
      <c r="B55" s="3" t="s">
        <v>163</v>
      </c>
      <c r="C55" s="16"/>
      <c r="D55" s="16"/>
      <c r="E55" s="16"/>
      <c r="F55" s="16">
        <v>309.05000000000001</v>
      </c>
      <c r="G55" s="16">
        <v>309.05000000000001</v>
      </c>
      <c r="H55" s="16">
        <v>309.05000000000001</v>
      </c>
      <c r="I55" s="16">
        <v>309.05000000000001</v>
      </c>
      <c r="J55" s="16">
        <v>309.05000000000001</v>
      </c>
      <c r="K55" s="16">
        <v>309.05000000000001</v>
      </c>
      <c r="L55" s="16">
        <v>309.05000000000001</v>
      </c>
      <c r="M55" s="16">
        <v>309.05000000000001</v>
      </c>
      <c r="N55" s="16">
        <v>309.05000000000001</v>
      </c>
      <c r="O55" s="16">
        <v>309.05000000000001</v>
      </c>
      <c r="P55" s="16">
        <v>309.05000000000001</v>
      </c>
      <c r="Q55" s="16">
        <v>309.05000000000001</v>
      </c>
      <c r="R55" s="16">
        <v>309.05000000000001</v>
      </c>
      <c r="S55" s="16">
        <v>309.05000000000001</v>
      </c>
      <c r="T55" s="16">
        <v>309.05000000000001</v>
      </c>
      <c r="U55" s="16">
        <v>309.05000000000001</v>
      </c>
      <c r="V55" s="16">
        <v>309.05000000000001</v>
      </c>
      <c r="W55" s="33">
        <v>298.80000000000001</v>
      </c>
      <c r="X55" s="33">
        <v>298.80000000000001</v>
      </c>
      <c r="Y55" s="33">
        <v>298.80000000000001</v>
      </c>
      <c r="Z55" s="33">
        <v>298.80000000000001</v>
      </c>
      <c r="AA55" s="33">
        <v>298.80000000000001</v>
      </c>
      <c r="AB55" s="33">
        <v>298.80000000000001</v>
      </c>
      <c r="AC55" s="33">
        <v>298.80000000000001</v>
      </c>
      <c r="AD55" s="19">
        <f>MIN(C55:AC55)</f>
        <v>298.80000000000001</v>
      </c>
      <c r="AE55" s="20">
        <f>MAX(C55:AC55)</f>
        <v>309.05000000000001</v>
      </c>
      <c r="AF55" s="20">
        <f>AVERAGE(C55:AC55)</f>
        <v>306.06041666666675</v>
      </c>
      <c r="AG55" s="20">
        <f>AVERAGE(Q55:AC55)</f>
        <v>303.53076923076929</v>
      </c>
      <c r="AH55" s="21">
        <f>(AG55/AF55)-1</f>
        <v>-8.265189806143769e-003</v>
      </c>
      <c r="AI55" s="21">
        <f>(AG55/AD55)-1</f>
        <v>1.5832561013284119e-002</v>
      </c>
      <c r="AJ55" s="21">
        <f>(AE55/AD55)-1</f>
        <v>3.4303882195448443e-002</v>
      </c>
      <c r="AK55" s="22" t="s">
        <v>164</v>
      </c>
    </row>
    <row r="56" ht="18">
      <c r="A56" s="2" t="s">
        <v>125</v>
      </c>
      <c r="B56" s="3" t="s">
        <v>165</v>
      </c>
      <c r="C56" s="16"/>
      <c r="D56" s="16"/>
      <c r="E56" s="16"/>
      <c r="F56" s="16"/>
      <c r="G56" s="16">
        <v>108.98999999999999</v>
      </c>
      <c r="H56" s="16">
        <v>108.98999999999999</v>
      </c>
      <c r="I56" s="16">
        <v>108.98999999999999</v>
      </c>
      <c r="J56" s="16">
        <v>108.98999999999999</v>
      </c>
      <c r="K56" s="16">
        <v>108.98999999999999</v>
      </c>
      <c r="L56" s="16">
        <v>108.98999999999999</v>
      </c>
      <c r="M56" s="16">
        <v>108.98999999999999</v>
      </c>
      <c r="N56" s="16">
        <v>108.98999999999999</v>
      </c>
      <c r="O56" s="16">
        <v>108.98999999999999</v>
      </c>
      <c r="P56" s="16">
        <v>108.98999999999999</v>
      </c>
      <c r="Q56" s="16">
        <v>108.98999999999999</v>
      </c>
      <c r="R56" s="16">
        <v>108.98999999999999</v>
      </c>
      <c r="S56" s="16">
        <v>108.98999999999999</v>
      </c>
      <c r="T56" s="16">
        <v>108.98999999999999</v>
      </c>
      <c r="U56" s="16">
        <v>108.98999999999999</v>
      </c>
      <c r="V56" s="16">
        <v>108.98999999999999</v>
      </c>
      <c r="W56" s="16">
        <v>108.98999999999999</v>
      </c>
      <c r="X56" s="16">
        <v>108.98999999999999</v>
      </c>
      <c r="Y56" s="24">
        <v>100.44</v>
      </c>
      <c r="Z56" s="24">
        <v>100.44</v>
      </c>
      <c r="AA56" s="24">
        <v>100.44</v>
      </c>
      <c r="AB56" s="24">
        <v>100.44</v>
      </c>
      <c r="AC56" s="24">
        <v>100.44</v>
      </c>
      <c r="AD56" s="19">
        <f>MIN(C56:AC56)</f>
        <v>100.44</v>
      </c>
      <c r="AE56" s="20">
        <f>MAX(C56:AC56)</f>
        <v>108.98999999999999</v>
      </c>
      <c r="AF56" s="20">
        <f>AVERAGE(C56:AC56)</f>
        <v>107.13130434782609</v>
      </c>
      <c r="AG56" s="20">
        <f>AVERAGE(Q56:AC56)</f>
        <v>105.70153846153848</v>
      </c>
      <c r="AH56" s="21">
        <f>(AG56/AF56)-1</f>
        <v>-1.3345920643750842e-002</v>
      </c>
      <c r="AI56" s="21">
        <f>(AG56/AD56)-1</f>
        <v>5.2384891094568786e-002</v>
      </c>
      <c r="AJ56" s="21">
        <f>(AE56/AD56)-1</f>
        <v>8.5125448028673834e-002</v>
      </c>
      <c r="AK56" s="37" t="s">
        <v>166</v>
      </c>
    </row>
    <row r="57" ht="18">
      <c r="B57" s="3" t="s">
        <v>167</v>
      </c>
      <c r="O57" s="16">
        <v>1.49</v>
      </c>
      <c r="P57" s="16">
        <v>1.49</v>
      </c>
      <c r="Q57" s="16">
        <v>1.49</v>
      </c>
      <c r="R57" s="16">
        <v>1.49</v>
      </c>
      <c r="S57" s="16">
        <v>1.49</v>
      </c>
      <c r="T57" s="16">
        <v>1.99</v>
      </c>
      <c r="U57" s="16">
        <v>1.99</v>
      </c>
      <c r="V57" s="16">
        <v>1.99</v>
      </c>
      <c r="W57" s="16">
        <v>1.99</v>
      </c>
      <c r="X57" s="16">
        <v>1.99</v>
      </c>
      <c r="Y57" s="16">
        <v>1.99</v>
      </c>
      <c r="Z57" s="16">
        <v>1.99</v>
      </c>
      <c r="AA57" s="16">
        <v>1.99</v>
      </c>
      <c r="AB57" s="16">
        <v>1.99</v>
      </c>
      <c r="AC57" s="16">
        <v>1.99</v>
      </c>
      <c r="AD57" s="19">
        <f>MIN(C57:AC57)</f>
        <v>1.49</v>
      </c>
      <c r="AE57" s="20">
        <f>MAX(C57:AC57)</f>
        <v>1.99</v>
      </c>
      <c r="AF57" s="20">
        <f>AVERAGE(C57:AC57)</f>
        <v>1.8233333333333328</v>
      </c>
      <c r="AG57" s="20">
        <f>AVERAGE(Q57:AC57)</f>
        <v>1.8746153846153841</v>
      </c>
      <c r="AH57" s="21">
        <f>(AG57/AF57)-1</f>
        <v>2.8125439459991686e-002</v>
      </c>
      <c r="AI57" s="21">
        <f>(AG57/AD57)-1</f>
        <v>0.25813113061435167</v>
      </c>
      <c r="AJ57" s="21">
        <f>(AE57/AD57)-1</f>
        <v>0.33557046979865768</v>
      </c>
    </row>
    <row r="58" ht="14.25">
      <c r="AA58" s="1"/>
      <c r="AB58" s="1"/>
      <c r="AC58" s="1"/>
      <c r="AD58" s="2"/>
      <c r="AE58" s="2"/>
      <c r="AF58" s="2"/>
      <c r="AG58" s="2"/>
      <c r="AH58" s="2"/>
      <c r="AI58" s="2"/>
      <c r="AJ58" s="2"/>
    </row>
    <row r="59" ht="14.25">
      <c r="AA59" s="1"/>
      <c r="AB59" s="1"/>
      <c r="AC59" s="1"/>
      <c r="AD59" s="2"/>
      <c r="AE59" s="2"/>
      <c r="AF59" s="2"/>
      <c r="AG59" s="2"/>
      <c r="AH59" s="2"/>
      <c r="AI59" s="2"/>
      <c r="AJ59" s="2"/>
    </row>
    <row r="60" ht="14.25">
      <c r="AA60" s="1"/>
      <c r="AB60" s="1"/>
      <c r="AC60" s="1"/>
      <c r="AD60" s="2"/>
      <c r="AE60" s="2"/>
      <c r="AF60" s="2"/>
      <c r="AG60" s="2"/>
      <c r="AH60" s="2"/>
      <c r="AI60" s="2"/>
      <c r="AJ60" s="2"/>
    </row>
    <row r="61" ht="14.25">
      <c r="AA61" s="1"/>
      <c r="AB61" s="1"/>
      <c r="AC61" s="1"/>
      <c r="AD61" s="2"/>
      <c r="AE61" s="2"/>
      <c r="AF61" s="2"/>
      <c r="AG61" s="2"/>
      <c r="AH61" s="2"/>
      <c r="AI61" s="2"/>
      <c r="AJ61" s="2"/>
    </row>
  </sheetData>
  <mergeCells count="7">
    <mergeCell ref="AD1:AD2"/>
    <mergeCell ref="AE1:AE2"/>
    <mergeCell ref="AF1:AF2"/>
    <mergeCell ref="AG1:AG2"/>
    <mergeCell ref="AH1:AH2"/>
    <mergeCell ref="AI1:AI2"/>
    <mergeCell ref="AJ1:AJ2"/>
  </mergeCells>
  <hyperlinks>
    <hyperlink r:id="rId1" ref="AK4"/>
    <hyperlink r:id="rId2" ref="AK5"/>
    <hyperlink r:id="rId3" ref="AK6"/>
    <hyperlink r:id="rId4" ref="AK7"/>
    <hyperlink r:id="rId5" ref="AK8"/>
    <hyperlink r:id="rId6" ref="AK9"/>
    <hyperlink r:id="rId7" ref="AK10"/>
    <hyperlink r:id="rId8" ref="AK11"/>
    <hyperlink r:id="rId9" ref="AK12"/>
    <hyperlink r:id="rId10" ref="AK13"/>
    <hyperlink r:id="rId11" ref="AK14"/>
    <hyperlink r:id="rId12" ref="AK15"/>
    <hyperlink r:id="rId13" ref="AK16"/>
    <hyperlink r:id="rId14" ref="AK17"/>
    <hyperlink r:id="rId15" ref="AK18"/>
    <hyperlink r:id="rId16" ref="AK19"/>
    <hyperlink r:id="rId17" ref="AK20"/>
    <hyperlink r:id="rId18" ref="AK21"/>
    <hyperlink r:id="rId19" ref="AK22"/>
    <hyperlink r:id="rId20" ref="AK23"/>
    <hyperlink r:id="rId21" ref="AK24"/>
    <hyperlink r:id="rId22" ref="AK25"/>
    <hyperlink r:id="rId23" ref="AK26"/>
    <hyperlink r:id="rId24" ref="AK27"/>
    <hyperlink r:id="rId25" ref="AK28"/>
    <hyperlink r:id="rId26" ref="AK29"/>
    <hyperlink r:id="rId27" ref="AK30"/>
    <hyperlink r:id="rId28" ref="AK31"/>
    <hyperlink r:id="rId29" ref="AK32"/>
    <hyperlink r:id="rId30" ref="AK33"/>
    <hyperlink r:id="rId31" ref="AK34"/>
    <hyperlink r:id="rId32" ref="AK35"/>
    <hyperlink r:id="rId33" ref="AK36"/>
    <hyperlink r:id="rId34" ref="AK37"/>
    <hyperlink r:id="rId35" ref="AK38"/>
    <hyperlink r:id="rId36" ref="AK39"/>
    <hyperlink r:id="rId37" ref="AK40"/>
    <hyperlink r:id="rId37" ref="AK41"/>
    <hyperlink r:id="rId37" ref="AK42"/>
    <hyperlink r:id="rId37" ref="AK43"/>
    <hyperlink r:id="rId37" ref="AK44"/>
    <hyperlink r:id="rId37" ref="AK45"/>
    <hyperlink r:id="rId38" ref="AK47"/>
    <hyperlink r:id="rId39" ref="AK48"/>
    <hyperlink r:id="rId40" ref="AK49"/>
    <hyperlink r:id="rId41" ref="AK50"/>
    <hyperlink r:id="rId42" ref="AK51"/>
    <hyperlink r:id="rId43" ref="AK53"/>
    <hyperlink r:id="rId44" ref="AK55"/>
    <hyperlink r:id="rId45" ref="AK56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29" firstPageNumber="1" fitToWidth="1" fitToHeight="0" pageOrder="downThenOver" orientation="landscape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28</cp:revision>
  <dcterms:modified xsi:type="dcterms:W3CDTF">2026-05-02T18:55:21Z</dcterms:modified>
</cp:coreProperties>
</file>