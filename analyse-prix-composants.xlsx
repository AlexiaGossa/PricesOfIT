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Feuille1" sheetId="1" state="visible" r:id="rId2"/>
  </sheets>
  <definedNames>
    <definedName name="Print_Titles" localSheetId="0">Feuille1!$3:$3</definedName>
    <definedName name="_xlnm.Print_Area" localSheetId="0">Feuille1!$A$1:$AL$58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<sst xmlns="http://schemas.openxmlformats.org/spreadsheetml/2006/main" count="172" uniqueCount="172">
  <si>
    <t xml:space="preserve">Le prix des composants IT</t>
  </si>
  <si>
    <t xml:space="preserve">Prix minimal</t>
  </si>
  <si>
    <t xml:space="preserve">Prix maximal</t>
  </si>
  <si>
    <t xml:space="preserve">Moyenne des prix</t>
  </si>
  <si>
    <t xml:space="preserve">Moyenne des 4 derniers prix</t>
  </si>
  <si>
    <t xml:space="preserve">Moyenne 4 derniers prix 
VS moyenne générale</t>
  </si>
  <si>
    <t xml:space="preserve">4 derniers prix
VS
prix minimal</t>
  </si>
  <si>
    <t xml:space="preserve">prix minimal
VS
maximal</t>
  </si>
  <si>
    <t xml:space="preserve">(c) 2025, 2026 Alexia Gossa</t>
  </si>
  <si>
    <t>Type</t>
  </si>
  <si>
    <t xml:space="preserve">Designation / Tarif TTC</t>
  </si>
  <si>
    <t>2021</t>
  </si>
  <si>
    <t xml:space="preserve">mai 2024</t>
  </si>
  <si>
    <t xml:space="preserve">fev 2025</t>
  </si>
  <si>
    <t xml:space="preserve">aout 2025</t>
  </si>
  <si>
    <t xml:space="preserve">6 déc 2025</t>
  </si>
  <si>
    <t xml:space="preserve">13 déc 2025</t>
  </si>
  <si>
    <t xml:space="preserve">20 déc 2025</t>
  </si>
  <si>
    <t xml:space="preserve">27 dec 2025</t>
  </si>
  <si>
    <t xml:space="preserve">30 dec 2025</t>
  </si>
  <si>
    <t xml:space="preserve">3 jan 2026</t>
  </si>
  <si>
    <t xml:space="preserve">10 jan 2026</t>
  </si>
  <si>
    <t xml:space="preserve">17 janv 2026</t>
  </si>
  <si>
    <t xml:space="preserve">25 janv 2026</t>
  </si>
  <si>
    <t xml:space="preserve">31 janv 2026</t>
  </si>
  <si>
    <t xml:space="preserve">8 fev 2026</t>
  </si>
  <si>
    <t xml:space="preserve">14 fev 2026</t>
  </si>
  <si>
    <t xml:space="preserve">21 fev 2026</t>
  </si>
  <si>
    <t xml:space="preserve">28 fev 2026</t>
  </si>
  <si>
    <t xml:space="preserve">7 mar 2026</t>
  </si>
  <si>
    <t xml:space="preserve">14 mar 2026</t>
  </si>
  <si>
    <t xml:space="preserve">21 mar 2026</t>
  </si>
  <si>
    <t xml:space="preserve">28 mar 2026</t>
  </si>
  <si>
    <t xml:space="preserve">4 avr 2026</t>
  </si>
  <si>
    <t xml:space="preserve">11 avr 2026</t>
  </si>
  <si>
    <t xml:space="preserve">18 avr 2026</t>
  </si>
  <si>
    <t xml:space="preserve">25 avr 2026</t>
  </si>
  <si>
    <t xml:space="preserve">2 mai 2026</t>
  </si>
  <si>
    <t xml:space="preserve">9 mai 2026</t>
  </si>
  <si>
    <t xml:space="preserve">16 mai 2026</t>
  </si>
  <si>
    <t>Min</t>
  </si>
  <si>
    <t>Max</t>
  </si>
  <si>
    <t>Moy</t>
  </si>
  <si>
    <t>Moy4</t>
  </si>
  <si>
    <t xml:space="preserve">Moy to Moy4</t>
  </si>
  <si>
    <t xml:space="preserve">Min to Moy4</t>
  </si>
  <si>
    <t xml:space="preserve">Min to Max</t>
  </si>
  <si>
    <t>URL</t>
  </si>
  <si>
    <t>RAM</t>
  </si>
  <si>
    <t xml:space="preserve">G.Skill Trident Z F4-3200C16D-32GTZN
Module de mémoire 32 Go 2 x 16 Go DDR4 3200 MHz</t>
  </si>
  <si>
    <t>indispo</t>
  </si>
  <si>
    <t>https://www.amazon.fr/dp/B07X19HT3S</t>
  </si>
  <si>
    <t xml:space="preserve">Kingston KSM52E42BD8KM-32HA Server Premier
32GB 5200MT/s DDR5 ECC CL42 DIMM 2Rx8 Hynix A </t>
  </si>
  <si>
    <t>https://www.amazon.fr/dp/B0C7W8CGTD</t>
  </si>
  <si>
    <t xml:space="preserve">Crucial CT2K32G56C46S5 CL46 RAM DDR5 64Go Kit
(2x32Go) 5600MHz SODIMM (ou 5200MHz / 4800MHz) </t>
  </si>
  <si>
    <t>https://www.amazon.fr/dp/B0BLTG7TN6</t>
  </si>
  <si>
    <t xml:space="preserve">Kingston FURY Impact KF556S40IBK2-64 PnP 64GB
(2x32GB) 5600MT/s DDR5 CL40 SODIMM</t>
  </si>
  <si>
    <t>https://www.amazon.fr/Kingston-M%C3%A9moire-dordinateur-Portable-KF556S40IBK2-64/dp/B0BRTJT5P2</t>
  </si>
  <si>
    <t>M.B.</t>
  </si>
  <si>
    <t xml:space="preserve">Carte mère semi-pro MB ASUS Pro WS W680-ACE IPMI</t>
  </si>
  <si>
    <t>https://www.amazon.fr/ASUS-W680-ACE-LGA1700-4xDDR5-8xSATA/dp/B0BRYH3868</t>
  </si>
  <si>
    <t>CPU</t>
  </si>
  <si>
    <t xml:space="preserve">Intel i5 12400F</t>
  </si>
  <si>
    <t>https://www.amazon.fr/dp/B09NPJRDGD</t>
  </si>
  <si>
    <t xml:space="preserve">Intel Core Ultra 7 270K Plus</t>
  </si>
  <si>
    <t>https://www.amazon.fr/dp/B0GMLJCBBM</t>
  </si>
  <si>
    <t xml:space="preserve">AMD Ryzen 7 9800X3D</t>
  </si>
  <si>
    <t>https://www.amazon.fr/dp/B0DQ86KCP2</t>
  </si>
  <si>
    <t xml:space="preserve">AMD Ryzen 5 5600GT</t>
  </si>
  <si>
    <t>https://www.amazon.fr/gp/product/B0CQ4DTJYX/ref=ewc_pr_img_1?smid=A1C1Y4BSJHJ47D&amp;psc=1</t>
  </si>
  <si>
    <t>GPU</t>
  </si>
  <si>
    <t xml:space="preserve">PNY GeForce™ RTX 4070 Super™ 12GB Verto™ Overclocked Dual Fan DLSS 3</t>
  </si>
  <si>
    <t>https://www.amazon.fr/PNY-Carte-Graphique-VCG4070S12DFXPB1-GDDR6X/dp/B0D363JYTH</t>
  </si>
  <si>
    <t xml:space="preserve">Gigabyte GeForce RTX 5070 WINDFORCE OC SFF 12G</t>
  </si>
  <si>
    <t>https://www.amazon.fr/Gigabyte-GeForce-WINDFORCE-Carte-Graphique/dp/B0DTGP2WMT</t>
  </si>
  <si>
    <t xml:space="preserve">PNY Carte Graphique GEFORCE RTX™ 5070 12Go Triple Fan</t>
  </si>
  <si>
    <t>https://www.amazon.fr/PNY-Carte-Graphique-GEFORCE-Triple/dp/B0F59N58GV</t>
  </si>
  <si>
    <t xml:space="preserve">PNY nVidia RTX PRO 6000 MAX-Q (96GB)</t>
  </si>
  <si>
    <t>https://www.amazon.fr/PNY-NVIDIA-Blackwell-Max-Q-Workstation/dp/B0FW4XQD4Z</t>
  </si>
  <si>
    <t xml:space="preserve">PNY GeForce RTX 5080 ARGB Overclocked Triple Fan 16GB GDDR7 Reflex 2 RTX AI DLSS4</t>
  </si>
  <si>
    <t>https://www.amazon.fr/PNY-GeForce-Overclocked-Triple-Reflex/dp/B0DZCVQGG6</t>
  </si>
  <si>
    <t xml:space="preserve">nVidia RTX 5090 FE 32GB</t>
  </si>
  <si>
    <t>rupture</t>
  </si>
  <si>
    <t>https://marketplace.nvidia.com/fr-fr/consumer/graphics-cards/nvidia-geforce-rtx-5090/</t>
  </si>
  <si>
    <t xml:space="preserve">ASUS TUF Gaming GeForce RTX 5090 32GB GDDR7 OC Edition</t>
  </si>
  <si>
    <t>https://www.amazon.fr/dp/B0DTHWSR1X</t>
  </si>
  <si>
    <t xml:space="preserve">Gigabyte Radeon AI PRO R9700 32G</t>
  </si>
  <si>
    <t>https://www.amazon.fr/dp/B0FJ8XPXTM</t>
  </si>
  <si>
    <t xml:space="preserve">ASRock Intel Arc Pro B60 Creator 24GB</t>
  </si>
  <si>
    <t>https://www.amazon.fr/dp/B0GVGFW7MB</t>
  </si>
  <si>
    <t xml:space="preserve">ASRock Intel Arc Pro B70 Creator 32GB</t>
  </si>
  <si>
    <t>https://www.amazon.fr/dp/B0GXHLFV2G</t>
  </si>
  <si>
    <t xml:space="preserve">PNY nVidia T400 2GB (30W)</t>
  </si>
  <si>
    <t>https://www.amazon.fr/dp/B094NHTKQY</t>
  </si>
  <si>
    <t xml:space="preserve">PNY nVidia T400 4GB (30W)</t>
  </si>
  <si>
    <t>https://www.amazon.fr/PNY-Professionnelle-Mini-DisplayPort-Ventilateur-Silencieux/dp/B09RQBL7JP</t>
  </si>
  <si>
    <t xml:space="preserve">PNY nVidia T600 4GB (40W)</t>
  </si>
  <si>
    <t>https://www.amazon.fr/PNY-Carte-graphique-NVIDIA-Quadro/dp/B09S6RMJ8B</t>
  </si>
  <si>
    <t>Laptop</t>
  </si>
  <si>
    <t xml:space="preserve">Portable HP Ryzen 7 5825U 8 coeurs - DDR4 16Go - SSD 512Go - GPU intégré - 15,6" IPS FHD - 41Wh (HP Laptop 15-fc0172nf)</t>
  </si>
  <si>
    <t>https://www.boulanger.com/ref/1227946</t>
  </si>
  <si>
    <t xml:space="preserve">Portable Lenovo Ryzen 7 5825U 8 coeurs - DDR4 16Go - SSD 512Go - GPU intégré - 15,6" IPS FHD</t>
  </si>
  <si>
    <t>https://www.boulanger.com/ref/1233488</t>
  </si>
  <si>
    <t>HDD</t>
  </si>
  <si>
    <t xml:space="preserve">Disque dur 16To Seagate ST16000NM002G</t>
  </si>
  <si>
    <t>https://www.amazon.fr/Seagate-Technology-ST16000NM002G-Enterprise-7200RPM/dp/B07TBG66PY</t>
  </si>
  <si>
    <t xml:space="preserve">Disque dur 16To Western Digital WD161KRYZ</t>
  </si>
  <si>
    <t>https://www.amazon.fr/Western-Digital-Gold-16To-sATA/dp/B089S33PR3</t>
  </si>
  <si>
    <t>SSD</t>
  </si>
  <si>
    <t xml:space="preserve">SSD Seagate FireCuda 530R NVMe SSD 4To
(avec dissipateur)</t>
  </si>
  <si>
    <t>https://www.amazon.fr/dp/B0CWHF3CZ7</t>
  </si>
  <si>
    <t xml:space="preserve">SSD Kingston DC600M 3840Go</t>
  </si>
  <si>
    <t>https://www.amazon.fr/dp/B0C4BHC4MJ/ref=sr_aod_dp_ttl?th=1</t>
  </si>
  <si>
    <t xml:space="preserve">SSD Crucial P310 SSD 1To PCIe Gen4 NVMe M.2 2280</t>
  </si>
  <si>
    <t>https://www.amazon.fr/dp/B0DC8VPSHV?th=1</t>
  </si>
  <si>
    <t xml:space="preserve">PNY CS900 500Go SATA (no-cache)</t>
  </si>
  <si>
    <t>https://www.amazon.fr/PNY-CS900-Pouces-Internal-Solid/dp/B07XZLN9KM</t>
  </si>
  <si>
    <t xml:space="preserve">Kingston SSD A400 480Go SATA (no-cache DWPD=0,18)</t>
  </si>
  <si>
    <t>https://www.amazon.fr/dp/B01N0TQPQB</t>
  </si>
  <si>
    <t xml:space="preserve">Kingston SSD KC600 256GB SATA (256MB dwpd=0,32)</t>
  </si>
  <si>
    <t>https://www.amazon.fr/Kingston-SKC600-256G-Interne-Chiffrement/dp/B07ZDBZDR9</t>
  </si>
  <si>
    <t xml:space="preserve">Kingston SSD KC600 512GB SATA (512MB dwpd=0,32)</t>
  </si>
  <si>
    <t>https://www.amazon.fr/Kingston-SKC600-512G-Interne-Chiffrement/dp/B07ZDBT15M</t>
  </si>
  <si>
    <t xml:space="preserve">WD SSD SA500 1TB (512MB dwpd=0,33)</t>
  </si>
  <si>
    <t>https://www.amazon.fr/Western-Digital-Rouge-SSD-SATA/dp/B07YFG3R5N</t>
  </si>
  <si>
    <t xml:space="preserve">Sandisk SSD Plus 1TB SDSSDA-1T00-G28 (dwpd=0,1 ???)</t>
  </si>
  <si>
    <t>https://www.amazon.fr/SanDisk-Interne-Vitesse-Lecture-Ordinateur/dp/B0F4Y12GGN</t>
  </si>
  <si>
    <t xml:space="preserve">Sandisk Ultra 3D SSD 1TB (dwpd=0,22 ???)</t>
  </si>
  <si>
    <t>https://www.amazon.fr/SanDisk-Ultra-SSD-jusqu%C3%A0-560/dp/B0B7VM4SRX</t>
  </si>
  <si>
    <t>Server</t>
  </si>
  <si>
    <t xml:space="preserve">Serveur Dell</t>
  </si>
  <si>
    <t>https://www.dell.com/fr-fr/shop/nos-solutions-serveurs-stockage-et-r%C3%A9seaux/serveur-au-format-rack-poweredge-r760xs/spd/poweredge-r760xs/per760xs1a?configurationid=8d08c76d-6679-47a7-abd7-874a88d492ab</t>
  </si>
  <si>
    <t xml:space="preserve">RAM DELL</t>
  </si>
  <si>
    <t xml:space="preserve">Dell 16 Go RDIMM 5600 MT/s, single-rank</t>
  </si>
  <si>
    <t>https://www.dell.com/fr-fr/shop/nos-solutions-serveurs-stockage-et-r%C3%A9seaux/serveur-au-format-rack-poweredge-r760xs/spd/poweredge-r760xs/per760xs1a?configurationid=08d14bf0-1fd2-465c-8fd3-1b2b0e632bde</t>
  </si>
  <si>
    <t xml:space="preserve">Dell 32 Go RDIMM, 5600 MT/s, dual-rank</t>
  </si>
  <si>
    <t xml:space="preserve">Dell 64 Go RDIMM, 5600 MT/s, dual-rank</t>
  </si>
  <si>
    <t xml:space="preserve">SSD DELL</t>
  </si>
  <si>
    <t xml:space="preserve">Dell SSD 960 Go SATA 6 Gbit/s 2,5" hotplug, DWPD=1</t>
  </si>
  <si>
    <t xml:space="preserve">HDD DELL</t>
  </si>
  <si>
    <t xml:space="preserve">Dell HDD 20 To SATA 6 Gbit/s 7 200 tr/min 3,5" hotplug</t>
  </si>
  <si>
    <t xml:space="preserve">Dell HDD 24 To SATA 6 Gbit/s 7 200 tr/min 3,5" hotplug</t>
  </si>
  <si>
    <t>MONITOR</t>
  </si>
  <si>
    <t xml:space="preserve">Ecran 27" S2722QC (USB-C 4K HDMI)</t>
  </si>
  <si>
    <t xml:space="preserve">Ecran 27" S2725QC (USB-C 4K HDMI)</t>
  </si>
  <si>
    <t>https://www.dell.com/fr-fr/shop/%C3%A9cran-4k-avec-port-usb-c-dell-27-plus-s2725qc/apd/210-bqws/moniteurs-et-accessoires-de-moniteur</t>
  </si>
  <si>
    <t>RPI</t>
  </si>
  <si>
    <t xml:space="preserve">Raspberry PI 4 8GB</t>
  </si>
  <si>
    <t>https://www.reichelt.com/fr/fr/shop/produit/raspberry_pi_4_b_4x_1_5_ghz_8_gb_ram_wlan_bt-276923?country=fr&amp;CCTYPE=private&amp;LANGUAGE=fr</t>
  </si>
  <si>
    <t>Mouse</t>
  </si>
  <si>
    <t xml:space="preserve">Souris Logitech G502 HERO</t>
  </si>
  <si>
    <t>https://www.amazon.fr/dp/B07GS6ZB7T</t>
  </si>
  <si>
    <t xml:space="preserve">HUB USB</t>
  </si>
  <si>
    <t xml:space="preserve">Hub USB TP-Link UH700</t>
  </si>
  <si>
    <t>https://www.amazon.fr/dp/B00LI4O9EA</t>
  </si>
  <si>
    <t>Camera</t>
  </si>
  <si>
    <t xml:space="preserve">Camera IP Tapo 2.5K</t>
  </si>
  <si>
    <t>https://www.amazon.fr/dp/B0CDCL6FLC</t>
  </si>
  <si>
    <t xml:space="preserve">Ordinateur portable DELL 16 Plus DB16250 (Intel Core Ultra 7 258V - 32Go - 1To NVMe - Ecran 2,5K - Batterie 64Wh) - Garantie Dommage accidentel 48 mois - Housse CV4625</t>
  </si>
  <si>
    <t>Dell</t>
  </si>
  <si>
    <t>Keyboard</t>
  </si>
  <si>
    <t xml:space="preserve">Clavier Cherry Stream Keyboard</t>
  </si>
  <si>
    <t>https://www.amazon.fr/disposition-fran%C3%A7aise-homologation-m%C3%A9canisme-silencieuse/dp/B07Z1F6R2B</t>
  </si>
  <si>
    <t>Smartphone</t>
  </si>
  <si>
    <t xml:space="preserve">Smartphone entrée de gamme Motorola E15</t>
  </si>
  <si>
    <t>Boulanger</t>
  </si>
  <si>
    <t>Printer</t>
  </si>
  <si>
    <t xml:space="preserve">Brother HL-L8240CDW</t>
  </si>
  <si>
    <t>https://www.amazon.fr/dp/B0CK2FXYJ5</t>
  </si>
  <si>
    <t xml:space="preserve">OVH - Rise 1 - Xeon-E 2386G - 128G DDR4 - 2x960Go SSD</t>
  </si>
  <si>
    <t>https://eco.ovhcloud.com/fr/rise/rise-1/</t>
  </si>
  <si>
    <t xml:space="preserve">OVH IPv4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</si>
</sst>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7">
    <font>
      <sz val="11.000000"/>
      <color theme="1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/>
      <name val="Calibri"/>
      <scheme val="minor"/>
    </font>
    <font>
      <sz val="11.000000"/>
      <color theme="1"/>
      <name val="Tahoma"/>
    </font>
    <font>
      <sz val="14.000000"/>
      <color theme="1"/>
      <name val="Tahoma"/>
    </font>
    <font>
      <sz val="12.000000"/>
      <color theme="1"/>
      <name val="Tahoma"/>
    </font>
    <font>
      <b/>
      <sz val="26.000000"/>
      <color theme="1"/>
      <name val="Tahoma"/>
    </font>
    <font>
      <b/>
      <sz val="12.000000"/>
      <color theme="1"/>
      <name val="Tahoma"/>
    </font>
    <font>
      <sz val="18.000000"/>
      <color theme="1"/>
      <name val="Tahoma"/>
    </font>
    <font>
      <b/>
      <sz val="12.000000"/>
      <color theme="0" tint="0"/>
      <name val="Tahoma"/>
    </font>
    <font>
      <b/>
      <sz val="14.000000"/>
      <color theme="0" tint="0"/>
      <name val="Tahoma"/>
    </font>
    <font>
      <b/>
      <sz val="10.000000"/>
      <color theme="0" tint="0"/>
      <name val="Tahoma"/>
    </font>
    <font>
      <sz val="14.000000"/>
      <color rgb="FF0F1111"/>
      <name val="Tahoma"/>
    </font>
    <font>
      <sz val="12.000000"/>
      <color rgb="FF0F1111"/>
      <name val="Tahoma"/>
    </font>
    <font>
      <u/>
      <sz val="11.000000"/>
      <color theme="10"/>
      <name val="Tahoma"/>
    </font>
    <font>
      <u/>
      <sz val="11.000000"/>
      <color theme="10"/>
      <name val="Calibri"/>
    </font>
    <font>
      <sz val="12.000000"/>
      <name val="Tahoma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none"/>
    </fill>
    <fill>
      <patternFill patternType="solid">
        <fgColor theme="4" tint="-0.499984740745262"/>
        <bgColor theme="4" tint="-0.499984740745262"/>
      </patternFill>
    </fill>
    <fill>
      <patternFill patternType="solid">
        <fgColor rgb="FF92D050"/>
        <bgColor rgb="FF92D050"/>
      </patternFill>
    </fill>
    <fill>
      <patternFill patternType="solid">
        <fgColor indexed="5"/>
        <bgColor indexed="5"/>
      </patternFill>
    </fill>
    <fill>
      <patternFill patternType="solid">
        <fgColor rgb="FFFFC000"/>
        <bgColor rgb="FFFFC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indexed="2"/>
        <bgColor indexed="2"/>
      </patternFill>
    </fill>
    <fill>
      <patternFill patternType="solid">
        <fgColor rgb="FF00B050"/>
        <bgColor rgb="FF00B050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</borders>
  <cellStyleXfs count="4">
    <xf fontId="0" fillId="0" borderId="0" numFmtId="0" applyNumberFormat="1" applyFont="1" applyFill="1" applyBorder="1"/>
    <xf fontId="1" fillId="2" borderId="1" numFmtId="0" applyNumberFormat="0" applyFont="1" applyFill="1" applyBorder="1"/>
    <xf fontId="2" fillId="3" borderId="2" numFmtId="0" applyNumberFormat="0" applyFont="1" applyFill="1" applyBorder="1"/>
    <xf fontId="0" fillId="4" borderId="0" numFmtId="43" applyNumberFormat="1" applyFont="0" applyFill="0" applyBorder="0"/>
  </cellStyleXfs>
  <cellXfs count="38">
    <xf fontId="0" fillId="0" borderId="0" numFmtId="0" xfId="0"/>
    <xf fontId="3" fillId="0" borderId="0" numFmtId="49" xfId="0" applyNumberFormat="1" applyFont="1" applyAlignment="1">
      <alignment vertical="center"/>
    </xf>
    <xf fontId="3" fillId="0" borderId="0" numFmtId="49" xfId="0" applyNumberFormat="1" applyFont="1" applyAlignment="1">
      <alignment horizontal="center" vertical="center"/>
    </xf>
    <xf fontId="4" fillId="0" borderId="0" numFmtId="49" xfId="0" applyNumberFormat="1" applyFont="1" applyAlignment="1">
      <alignment vertical="center" wrapText="1"/>
    </xf>
    <xf fontId="5" fillId="0" borderId="0" numFmtId="49" xfId="0" applyNumberFormat="1" applyFont="1" applyAlignment="1">
      <alignment horizontal="right" vertical="center"/>
    </xf>
    <xf fontId="3" fillId="0" borderId="0" numFmtId="0" xfId="0" applyFont="1"/>
    <xf fontId="6" fillId="0" borderId="0" numFmtId="49" xfId="0" applyNumberFormat="1" applyFont="1" applyAlignment="1">
      <alignment vertical="center" wrapText="1"/>
    </xf>
    <xf fontId="7" fillId="0" borderId="0" numFmtId="49" xfId="0" applyNumberFormat="1" applyFont="1" applyAlignment="1">
      <alignment horizontal="center" wrapText="1"/>
    </xf>
    <xf fontId="8" fillId="0" borderId="0" numFmtId="49" xfId="0" applyNumberFormat="1" applyFont="1" applyAlignment="1">
      <alignment vertical="center" wrapText="1"/>
    </xf>
    <xf fontId="9" fillId="5" borderId="0" numFmtId="49" xfId="0" applyNumberFormat="1" applyFont="1" applyFill="1" applyAlignment="1">
      <alignment horizontal="center" vertical="center"/>
    </xf>
    <xf fontId="10" fillId="5" borderId="0" numFmtId="49" xfId="0" applyNumberFormat="1" applyFont="1" applyFill="1" applyAlignment="1">
      <alignment vertical="center" wrapText="1"/>
    </xf>
    <xf fontId="11" fillId="5" borderId="0" numFmtId="49" xfId="0" applyNumberFormat="1" applyFont="1" applyFill="1" applyAlignment="1">
      <alignment horizontal="right" vertical="center"/>
    </xf>
    <xf fontId="11" fillId="5" borderId="0" numFmtId="49" xfId="0" applyNumberFormat="1" applyFont="1" applyFill="1" applyAlignment="1">
      <alignment horizontal="center" vertical="center"/>
    </xf>
    <xf fontId="12" fillId="0" borderId="0" numFmtId="49" xfId="0" applyNumberFormat="1" applyFont="1" applyAlignment="1">
      <alignment horizontal="left" vertical="center" wrapText="1"/>
    </xf>
    <xf fontId="13" fillId="6" borderId="0" numFmtId="0" xfId="0" applyFont="1" applyFill="1" applyAlignment="1">
      <alignment horizontal="right" vertical="center"/>
      <protection locked="1"/>
    </xf>
    <xf fontId="13" fillId="0" borderId="0" numFmtId="2" xfId="0" applyNumberFormat="1" applyFont="1" applyAlignment="1">
      <alignment horizontal="center" vertical="center"/>
      <protection locked="1"/>
    </xf>
    <xf fontId="5" fillId="0" borderId="0" numFmtId="2" xfId="0" applyNumberFormat="1" applyFont="1" applyAlignment="1">
      <alignment horizontal="right" vertical="center"/>
      <protection locked="1"/>
    </xf>
    <xf fontId="5" fillId="7" borderId="0" numFmtId="2" xfId="0" applyNumberFormat="1" applyFont="1" applyFill="1" applyAlignment="1">
      <alignment horizontal="right" vertical="center"/>
      <protection locked="1"/>
    </xf>
    <xf fontId="5" fillId="8" borderId="0" numFmtId="2" xfId="0" applyNumberFormat="1" applyFont="1" applyFill="1" applyAlignment="1">
      <alignment horizontal="right" vertical="center"/>
      <protection locked="1"/>
    </xf>
    <xf fontId="3" fillId="9" borderId="0" numFmtId="2" xfId="0" applyNumberFormat="1" applyFont="1" applyFill="1" applyAlignment="1">
      <alignment horizontal="center" vertical="center"/>
      <protection locked="1"/>
    </xf>
    <xf fontId="3" fillId="9" borderId="0" numFmtId="2" xfId="0" applyNumberFormat="1" applyFont="1" applyFill="1" applyAlignment="1">
      <alignment horizontal="center" vertical="center"/>
    </xf>
    <xf fontId="3" fillId="9" borderId="0" numFmtId="10" xfId="0" applyNumberFormat="1" applyFont="1" applyFill="1" applyAlignment="1">
      <alignment horizontal="center" vertical="center"/>
    </xf>
    <xf fontId="14" fillId="0" borderId="0" numFmtId="49" xfId="0" applyNumberFormat="1" applyFont="1" applyAlignment="1">
      <alignment vertical="center"/>
    </xf>
    <xf fontId="3" fillId="0" borderId="0" numFmtId="2" xfId="0" applyNumberFormat="1" applyFont="1" applyAlignment="1">
      <alignment vertical="center"/>
    </xf>
    <xf fontId="5" fillId="6" borderId="0" numFmtId="2" xfId="0" applyNumberFormat="1" applyFont="1" applyFill="1" applyAlignment="1">
      <alignment horizontal="right" vertical="center"/>
      <protection locked="1"/>
    </xf>
    <xf fontId="3" fillId="10" borderId="0" numFmtId="49" xfId="0" applyNumberFormat="1" applyFont="1" applyFill="1" applyAlignment="1">
      <alignment horizontal="center" vertical="center"/>
    </xf>
    <xf fontId="4" fillId="10" borderId="0" numFmtId="49" xfId="0" applyNumberFormat="1" applyFont="1" applyFill="1" applyAlignment="1">
      <alignment vertical="center" wrapText="1"/>
    </xf>
    <xf fontId="13" fillId="10" borderId="0" numFmtId="2" xfId="0" applyNumberFormat="1" applyFont="1" applyFill="1" applyAlignment="1">
      <alignment horizontal="center" vertical="center"/>
      <protection locked="1"/>
    </xf>
    <xf fontId="5" fillId="10" borderId="0" numFmtId="2" xfId="0" applyNumberFormat="1" applyFont="1" applyFill="1" applyAlignment="1">
      <alignment horizontal="right" vertical="center"/>
      <protection locked="1"/>
    </xf>
    <xf fontId="15" fillId="0" borderId="0" numFmtId="49" xfId="0" applyNumberFormat="1" applyFont="1" applyAlignment="1">
      <alignment vertical="center"/>
    </xf>
    <xf fontId="9" fillId="11" borderId="0" numFmtId="2" xfId="0" applyNumberFormat="1" applyFont="1" applyFill="1" applyAlignment="1">
      <alignment horizontal="right" vertical="center"/>
      <protection locked="1"/>
    </xf>
    <xf fontId="5" fillId="10" borderId="0" numFmtId="4" xfId="0" applyNumberFormat="1" applyFont="1" applyFill="1" applyAlignment="1">
      <alignment horizontal="right" vertical="center"/>
      <protection locked="1"/>
    </xf>
    <xf fontId="16" fillId="8" borderId="0" numFmtId="2" xfId="0" applyNumberFormat="1" applyFont="1" applyFill="1" applyAlignment="1">
      <alignment horizontal="right" vertical="center"/>
      <protection locked="1"/>
    </xf>
    <xf fontId="9" fillId="12" borderId="0" numFmtId="2" xfId="0" applyNumberFormat="1" applyFont="1" applyFill="1" applyAlignment="1">
      <alignment horizontal="right" vertical="center"/>
      <protection locked="1"/>
    </xf>
    <xf fontId="16" fillId="7" borderId="0" numFmtId="2" xfId="0" applyNumberFormat="1" applyFont="1" applyFill="1" applyAlignment="1">
      <alignment horizontal="right" vertical="center"/>
      <protection locked="1"/>
    </xf>
    <xf fontId="16" fillId="0" borderId="0" numFmtId="2" xfId="0" applyNumberFormat="1" applyFont="1" applyAlignment="1">
      <alignment horizontal="right" vertical="center"/>
      <protection locked="1"/>
    </xf>
    <xf fontId="5" fillId="13" borderId="0" numFmtId="2" xfId="0" applyNumberFormat="1" applyFont="1" applyFill="1" applyAlignment="1">
      <alignment horizontal="right" vertical="center"/>
      <protection locked="1"/>
    </xf>
    <xf fontId="14" fillId="0" borderId="0" numFmtId="0" xfId="0" applyFont="1"/>
  </cellXfs>
  <cellStyles count="4">
    <cellStyle name="Normal" xfId="0" builtinId="0"/>
    <cellStyle name="Calculation" xfId="1" builtinId="22"/>
    <cellStyle name="Check Cell" xfId="2" builtinId="23"/>
    <cellStyle name="Comm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amazon.fr/dp/B07X19HT3S" TargetMode="External"/><Relationship  Id="rId10" Type="http://schemas.openxmlformats.org/officeDocument/2006/relationships/hyperlink" Target="https://www.amazon.fr/PNY-Carte-Graphique-VCG4070S12DFXPB1-GDDR6X/dp/B0D363JYTH" TargetMode="External"/><Relationship  Id="rId11" Type="http://schemas.openxmlformats.org/officeDocument/2006/relationships/hyperlink" Target="https://www.amazon.fr/Gigabyte-GeForce-WINDFORCE-Carte-Graphique/dp/B0DTGP2WMT" TargetMode="External"/><Relationship  Id="rId12" Type="http://schemas.openxmlformats.org/officeDocument/2006/relationships/hyperlink" Target="https://www.amazon.fr/PNY-Carte-Graphique-GEFORCE-Triple/dp/B0F59N58GV" TargetMode="External"/><Relationship  Id="rId13" Type="http://schemas.openxmlformats.org/officeDocument/2006/relationships/hyperlink" Target="https://www.amazon.fr/PNY-NVIDIA-Blackwell-Max-Q-Workstation/dp/B0FW4XQD4Z" TargetMode="External"/><Relationship  Id="rId14" Type="http://schemas.openxmlformats.org/officeDocument/2006/relationships/hyperlink" Target="https://www.amazon.fr/PNY-GeForce-Overclocked-Triple-Reflex/dp/B0DZCVQGG6" TargetMode="External"/><Relationship  Id="rId15" Type="http://schemas.openxmlformats.org/officeDocument/2006/relationships/hyperlink" Target="https://marketplace.nvidia.com/fr-fr/consumer/graphics-cards/nvidia-geforce-rtx-5090/" TargetMode="External"/><Relationship  Id="rId16" Type="http://schemas.openxmlformats.org/officeDocument/2006/relationships/hyperlink" Target="https://www.amazon.fr/dp/B0DTHWSR1X" TargetMode="External"/><Relationship  Id="rId17" Type="http://schemas.openxmlformats.org/officeDocument/2006/relationships/hyperlink" Target="https://www.amazon.fr/dp/B0FJ8XPXTM" TargetMode="External"/><Relationship  Id="rId18" Type="http://schemas.openxmlformats.org/officeDocument/2006/relationships/hyperlink" Target="https://www.amazon.fr/dp/B0GVGFW7MB" TargetMode="External"/><Relationship  Id="rId19" Type="http://schemas.openxmlformats.org/officeDocument/2006/relationships/hyperlink" Target="https://www.amazon.fr/dp/B0GXHLFV2G" TargetMode="External"/><Relationship  Id="rId2" Type="http://schemas.openxmlformats.org/officeDocument/2006/relationships/hyperlink" Target="https://www.amazon.fr/dp/B0C7W8CGTD" TargetMode="External"/><Relationship  Id="rId20" Type="http://schemas.openxmlformats.org/officeDocument/2006/relationships/hyperlink" Target="https://www.amazon.fr/dp/B094NHTKQY" TargetMode="External"/><Relationship  Id="rId21" Type="http://schemas.openxmlformats.org/officeDocument/2006/relationships/hyperlink" Target="https://www.amazon.fr/PNY-Professionnelle-Mini-DisplayPort-Ventilateur-Silencieux/dp/B09RQBL7JP" TargetMode="External"/><Relationship  Id="rId22" Type="http://schemas.openxmlformats.org/officeDocument/2006/relationships/hyperlink" Target="https://www.amazon.fr/PNY-Carte-graphique-NVIDIA-Quadro/dp/B09S6RMJ8B" TargetMode="External"/><Relationship  Id="rId23" Type="http://schemas.openxmlformats.org/officeDocument/2006/relationships/hyperlink" Target="https://www.boulanger.com/ref/1227946" TargetMode="External"/><Relationship  Id="rId24" Type="http://schemas.openxmlformats.org/officeDocument/2006/relationships/hyperlink" Target="https://www.boulanger.com/ref/1233488" TargetMode="External"/><Relationship  Id="rId25" Type="http://schemas.openxmlformats.org/officeDocument/2006/relationships/hyperlink" Target="https://www.amazon.fr/Seagate-Technology-ST16000NM002G-Enterprise-7200RPM/dp/B07TBG66PY" TargetMode="External"/><Relationship  Id="rId26" Type="http://schemas.openxmlformats.org/officeDocument/2006/relationships/hyperlink" Target="https://www.amazon.fr/Western-Digital-Gold-16To-sATA/dp/B089S33PR3" TargetMode="External"/><Relationship  Id="rId27" Type="http://schemas.openxmlformats.org/officeDocument/2006/relationships/hyperlink" Target="https://www.amazon.fr/dp/B0CWHF3CZ7" TargetMode="External"/><Relationship  Id="rId28" Type="http://schemas.openxmlformats.org/officeDocument/2006/relationships/hyperlink" Target="https://www.amazon.fr/dp/B0C4BHC4MJ/ref=sr_aod_dp_ttl?th=1" TargetMode="External"/><Relationship  Id="rId29" Type="http://schemas.openxmlformats.org/officeDocument/2006/relationships/hyperlink" Target="https://www.amazon.fr/dp/B0DC8VPSHV?th=1" TargetMode="External"/><Relationship  Id="rId3" Type="http://schemas.openxmlformats.org/officeDocument/2006/relationships/hyperlink" Target="https://www.amazon.fr/dp/B0BLTG7TN6" TargetMode="External"/><Relationship  Id="rId30" Type="http://schemas.openxmlformats.org/officeDocument/2006/relationships/hyperlink" Target="https://www.amazon.fr/PNY-CS900-Pouces-Internal-Solid/dp/B07XZLN9KM" TargetMode="External"/><Relationship  Id="rId31" Type="http://schemas.openxmlformats.org/officeDocument/2006/relationships/hyperlink" Target="https://www.amazon.fr/dp/B01N0TQPQB" TargetMode="External"/><Relationship  Id="rId32" Type="http://schemas.openxmlformats.org/officeDocument/2006/relationships/hyperlink" Target="https://www.amazon.fr/Kingston-SKC600-256G-Interne-Chiffrement/dp/B07ZDBZDR9" TargetMode="External"/><Relationship  Id="rId33" Type="http://schemas.openxmlformats.org/officeDocument/2006/relationships/hyperlink" Target="https://www.amazon.fr/Kingston-SKC600-512G-Interne-Chiffrement/dp/B07ZDBT15M" TargetMode="External"/><Relationship  Id="rId34" Type="http://schemas.openxmlformats.org/officeDocument/2006/relationships/hyperlink" Target="https://www.amazon.fr/Western-Digital-Rouge-SSD-SATA/dp/B07YFG3R5N" TargetMode="External"/><Relationship  Id="rId35" Type="http://schemas.openxmlformats.org/officeDocument/2006/relationships/hyperlink" Target="https://www.amazon.fr/SanDisk-Interne-Vitesse-Lecture-Ordinateur/dp/B0F4Y12GGN" TargetMode="External"/><Relationship  Id="rId36" Type="http://schemas.openxmlformats.org/officeDocument/2006/relationships/hyperlink" Target="https://www.amazon.fr/SanDisk-Ultra-SSD-jusqu%C3%A0-560/dp/B0B7VM4SRX" TargetMode="External"/><Relationship  Id="rId37" Type="http://schemas.openxmlformats.org/officeDocument/2006/relationships/hyperlink" Target="https://www.dell.com/fr-fr/shop/nos-solutions-serveurs-stockage-et-r%C3%A9seaux/serveur-au-format-rack-poweredge-r760xs/spd/poweredge-r760xs/per760xs1a?configurationid=8d08c76d-6679-47a7-abd7-874a88d492ab" TargetMode="External"/><Relationship  Id="rId38" Type="http://schemas.openxmlformats.org/officeDocument/2006/relationships/hyperlink" Target="https://www.dell.com/fr-fr/shop/nos-solutions-serveurs-stockage-et-r%C3%A9seaux/serveur-au-format-rack-poweredge-r760xs/spd/poweredge-r760xs/per760xs1a?configurationid=08d14bf0-1fd2-465c-8fd3-1b2b0e632bde" TargetMode="External"/><Relationship  Id="rId39" Type="http://schemas.openxmlformats.org/officeDocument/2006/relationships/hyperlink" Target="https://www.dell.com/fr-fr/shop/%C3%A9cran-4k-avec-port-usb-c-dell-27-plus-s2725qc/apd/210-bqws/moniteurs-et-accessoires-de-moniteur" TargetMode="External"/><Relationship  Id="rId4" Type="http://schemas.openxmlformats.org/officeDocument/2006/relationships/hyperlink" Target="https://www.amazon.fr/Kingston-M%C3%A9moire-dordinateur-Portable-KF556S40IBK2-64/dp/B0BRTJT5P2" TargetMode="External"/><Relationship  Id="rId40" Type="http://schemas.openxmlformats.org/officeDocument/2006/relationships/hyperlink" Target="https://www.reichelt.com/fr/fr/shop/produit/raspberry_pi_4_b_4x_1_5_ghz_8_gb_ram_wlan_bt-276923?country=fr&amp;CCTYPE=private&amp;LANGUAGE=fr" TargetMode="External"/><Relationship  Id="rId41" Type="http://schemas.openxmlformats.org/officeDocument/2006/relationships/hyperlink" Target="https://www.amazon.fr/dp/B07GS6ZB7T" TargetMode="External"/><Relationship  Id="rId42" Type="http://schemas.openxmlformats.org/officeDocument/2006/relationships/hyperlink" Target="https://www.amazon.fr/dp/B00LI4O9EA" TargetMode="External"/><Relationship  Id="rId43" Type="http://schemas.openxmlformats.org/officeDocument/2006/relationships/hyperlink" Target="https://www.amazon.fr/dp/B0CDCL6FLC" TargetMode="External"/><Relationship  Id="rId44" Type="http://schemas.openxmlformats.org/officeDocument/2006/relationships/hyperlink" Target="https://www.amazon.fr/disposition-fran%C3%A7aise-homologation-m%C3%A9canisme-silencieuse/dp/B07Z1F6R2B" TargetMode="External"/><Relationship  Id="rId45" Type="http://schemas.openxmlformats.org/officeDocument/2006/relationships/hyperlink" Target="https://www.amazon.fr/dp/B0CK2FXYJ5" TargetMode="External"/><Relationship  Id="rId46" Type="http://schemas.openxmlformats.org/officeDocument/2006/relationships/hyperlink" Target="https://eco.ovhcloud.com/fr/rise/rise-1/" TargetMode="External"/><Relationship  Id="rId5" Type="http://schemas.openxmlformats.org/officeDocument/2006/relationships/hyperlink" Target="https://www.amazon.fr/ASUS-W680-ACE-LGA1700-4xDDR5-8xSATA/dp/B0BRYH3868" TargetMode="External"/><Relationship  Id="rId6" Type="http://schemas.openxmlformats.org/officeDocument/2006/relationships/hyperlink" Target="https://www.amazon.fr/dp/B09NPJRDGD" TargetMode="External"/><Relationship  Id="rId7" Type="http://schemas.openxmlformats.org/officeDocument/2006/relationships/hyperlink" Target="https://www.amazon.fr/dp/B0GMLJCBBM" TargetMode="External"/><Relationship  Id="rId8" Type="http://schemas.openxmlformats.org/officeDocument/2006/relationships/hyperlink" Target="https://www.amazon.fr/dp/B0DQ86KCP2" TargetMode="External"/><Relationship  Id="rId9" Type="http://schemas.openxmlformats.org/officeDocument/2006/relationships/hyperlink" Target="https://www.amazon.fr/gp/product/B0CQ4DTJYX/ref=ewc_pr_img_1?smid=A1C1Y4BSJHJ47D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Formulas="0" view="normal" zoomScale="100" workbookViewId="0">
      <pane xSplit="2" ySplit="3" topLeftCell="C4" activePane="bottomRight" state="frozen"/>
      <selection activeCell="A1" activeCellId="0" sqref="A1"/>
    </sheetView>
  </sheetViews>
  <sheetFormatPr defaultRowHeight="14.25"/>
  <cols>
    <col customWidth="1" min="1" max="1" style="2" width="10.421875"/>
    <col customWidth="1" min="2" max="2" style="3" width="72.57421875"/>
    <col customWidth="1" min="3" max="3" style="4" width="7.7109375"/>
    <col customWidth="1" min="4" max="4" style="4" width="10.140625"/>
    <col bestFit="1" customWidth="1" min="5" max="5" style="4" width="9.57421875"/>
    <col bestFit="1" customWidth="1" min="6" max="6" style="4" width="11.00390625"/>
    <col bestFit="1" customWidth="1" min="7" max="7" style="4" width="12.00390625"/>
    <col bestFit="1" customWidth="1" min="8" max="9" style="4" width="13.28125"/>
    <col bestFit="1" min="10" max="11" style="4" width="13.28125"/>
    <col bestFit="1" min="12" max="12" style="4" width="11.7109375"/>
    <col bestFit="1" min="13" max="13" style="4" width="13.00390625"/>
    <col bestFit="1" min="14" max="15" style="4" width="14.140625"/>
    <col customWidth="1" min="16" max="31" style="1" width="12.7109375"/>
    <col customWidth="1" min="32" max="35" style="2" width="12.7109375"/>
    <col customWidth="1" min="36" max="36" style="2" width="14.140625"/>
    <col customWidth="1" min="37" max="38" style="2" width="12.7109375"/>
    <col customWidth="1" min="39" max="39" style="5" width="42.28125"/>
    <col min="40" max="16384" style="1" width="9.140625"/>
  </cols>
  <sheetData>
    <row r="1" ht="57.75" customHeight="1">
      <c r="A1" s="2"/>
      <c r="B1" s="6" t="s">
        <v>0</v>
      </c>
      <c r="N1" s="4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 t="s">
        <v>1</v>
      </c>
      <c r="AG1" s="7" t="s">
        <v>2</v>
      </c>
      <c r="AH1" s="7" t="s">
        <v>3</v>
      </c>
      <c r="AI1" s="7" t="s">
        <v>4</v>
      </c>
      <c r="AJ1" s="7" t="s">
        <v>5</v>
      </c>
      <c r="AK1" s="7" t="s">
        <v>6</v>
      </c>
      <c r="AL1" s="7" t="s">
        <v>7</v>
      </c>
      <c r="AM1" s="5"/>
    </row>
    <row r="2" ht="39.75" customHeight="1">
      <c r="A2" s="2"/>
      <c r="B2" s="8" t="s">
        <v>8</v>
      </c>
      <c r="N2" s="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  <c r="AG2" s="7"/>
      <c r="AH2" s="7"/>
      <c r="AI2" s="7"/>
      <c r="AJ2" s="7"/>
      <c r="AK2" s="7"/>
      <c r="AL2" s="7"/>
    </row>
    <row r="3" ht="18">
      <c r="A3" s="9" t="s">
        <v>9</v>
      </c>
      <c r="B3" s="10" t="s">
        <v>10</v>
      </c>
      <c r="C3" s="11" t="s">
        <v>11</v>
      </c>
      <c r="D3" s="11" t="s">
        <v>12</v>
      </c>
      <c r="E3" s="11" t="s">
        <v>13</v>
      </c>
      <c r="F3" s="11" t="s">
        <v>14</v>
      </c>
      <c r="G3" s="11" t="s">
        <v>15</v>
      </c>
      <c r="H3" s="11" t="s">
        <v>16</v>
      </c>
      <c r="I3" s="11" t="s">
        <v>17</v>
      </c>
      <c r="J3" s="11" t="s">
        <v>18</v>
      </c>
      <c r="K3" s="11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1" t="s">
        <v>26</v>
      </c>
      <c r="S3" s="11" t="s">
        <v>27</v>
      </c>
      <c r="T3" s="11" t="s">
        <v>28</v>
      </c>
      <c r="U3" s="11" t="s">
        <v>29</v>
      </c>
      <c r="V3" s="11" t="s">
        <v>30</v>
      </c>
      <c r="W3" s="11" t="s">
        <v>31</v>
      </c>
      <c r="X3" s="11" t="s">
        <v>32</v>
      </c>
      <c r="Y3" s="11" t="s">
        <v>33</v>
      </c>
      <c r="Z3" s="11" t="s">
        <v>34</v>
      </c>
      <c r="AA3" s="11" t="s">
        <v>35</v>
      </c>
      <c r="AB3" s="11" t="s">
        <v>36</v>
      </c>
      <c r="AC3" s="11" t="s">
        <v>37</v>
      </c>
      <c r="AD3" s="11" t="s">
        <v>38</v>
      </c>
      <c r="AE3" s="11" t="s">
        <v>39</v>
      </c>
      <c r="AF3" s="12" t="s">
        <v>40</v>
      </c>
      <c r="AG3" s="12" t="s">
        <v>41</v>
      </c>
      <c r="AH3" s="12" t="s">
        <v>42</v>
      </c>
      <c r="AI3" s="12" t="s">
        <v>43</v>
      </c>
      <c r="AJ3" s="12" t="s">
        <v>44</v>
      </c>
      <c r="AK3" s="12" t="s">
        <v>45</v>
      </c>
      <c r="AL3" s="12" t="s">
        <v>46</v>
      </c>
      <c r="AM3" s="5" t="s">
        <v>47</v>
      </c>
    </row>
    <row r="4" ht="36">
      <c r="A4" s="2" t="s">
        <v>48</v>
      </c>
      <c r="B4" s="13" t="s">
        <v>49</v>
      </c>
      <c r="C4" s="14">
        <v>171.88</v>
      </c>
      <c r="D4" s="15"/>
      <c r="E4" s="15"/>
      <c r="F4" s="15"/>
      <c r="G4" s="16">
        <v>284</v>
      </c>
      <c r="H4" s="16">
        <v>311.12</v>
      </c>
      <c r="I4" s="16">
        <v>325.22000000000003</v>
      </c>
      <c r="J4" s="17">
        <v>353.94999999999999</v>
      </c>
      <c r="K4" s="17">
        <v>341.58999999999997</v>
      </c>
      <c r="L4" s="17">
        <v>341.57999999999998</v>
      </c>
      <c r="M4" s="16" t="s">
        <v>50</v>
      </c>
      <c r="N4" s="17">
        <v>321.14999999999998</v>
      </c>
      <c r="O4" s="17">
        <v>362.83999999999997</v>
      </c>
      <c r="P4" s="17">
        <v>367.56</v>
      </c>
      <c r="Q4" s="17">
        <v>367.56</v>
      </c>
      <c r="R4" s="17">
        <v>366.89999999999998</v>
      </c>
      <c r="S4" s="17">
        <v>366.26999999999998</v>
      </c>
      <c r="T4" s="17">
        <v>366.26999999999998</v>
      </c>
      <c r="U4" s="17">
        <v>366.26999999999998</v>
      </c>
      <c r="V4" s="17">
        <v>366.26999999999998</v>
      </c>
      <c r="W4" s="17">
        <v>370.38999999999999</v>
      </c>
      <c r="X4" s="18">
        <v>415.97000000000003</v>
      </c>
      <c r="Y4" s="18">
        <v>418.17000000000002</v>
      </c>
      <c r="Z4" s="17">
        <v>397.13</v>
      </c>
      <c r="AA4" s="18">
        <v>450.54000000000002</v>
      </c>
      <c r="AB4" s="17">
        <v>409.94999999999999</v>
      </c>
      <c r="AC4" s="18">
        <v>450.54000000000002</v>
      </c>
      <c r="AD4" s="16" t="s">
        <v>50</v>
      </c>
      <c r="AE4" s="18">
        <v>425.05000000000001</v>
      </c>
      <c r="AF4" s="19">
        <f>MIN(C4:AE4)</f>
        <v>171.88</v>
      </c>
      <c r="AG4" s="20">
        <f>MAX(C4:AE4)</f>
        <v>450.54000000000002</v>
      </c>
      <c r="AH4" s="20">
        <f>AVERAGE(C4:AE4)</f>
        <v>363.25708333333341</v>
      </c>
      <c r="AI4" s="20">
        <f>AVERAGE(Q4:AE4)</f>
        <v>395.51999999999998</v>
      </c>
      <c r="AJ4" s="21">
        <f>(AI4/AH4)-1</f>
        <v>8.8815657414342386e-002</v>
      </c>
      <c r="AK4" s="21">
        <f>(AI4/AF4)-1</f>
        <v>1.3011403304631139</v>
      </c>
      <c r="AL4" s="21">
        <f>(AG4/AF4)-1</f>
        <v>1.6212473818943449</v>
      </c>
      <c r="AM4" s="22" t="s">
        <v>51</v>
      </c>
      <c r="AN4" s="23">
        <f>C2*1</f>
        <v>0</v>
      </c>
    </row>
    <row r="5" ht="36">
      <c r="A5" s="2" t="s">
        <v>48</v>
      </c>
      <c r="B5" s="13" t="s">
        <v>52</v>
      </c>
      <c r="C5" s="15"/>
      <c r="D5" s="24">
        <v>200.47999999999999</v>
      </c>
      <c r="E5" s="15"/>
      <c r="F5" s="15"/>
      <c r="G5" s="16">
        <v>686</v>
      </c>
      <c r="H5" s="16" t="s">
        <v>50</v>
      </c>
      <c r="I5" s="16">
        <v>613.99000000000001</v>
      </c>
      <c r="J5" s="17">
        <v>851.53999999999996</v>
      </c>
      <c r="K5" s="17">
        <v>846.99000000000001</v>
      </c>
      <c r="L5" s="17">
        <v>861.65999999999997</v>
      </c>
      <c r="M5" s="17">
        <v>825.99000000000001</v>
      </c>
      <c r="N5" s="17">
        <v>823.84000000000003</v>
      </c>
      <c r="O5" s="17">
        <v>823.84000000000003</v>
      </c>
      <c r="P5" s="17">
        <v>823.84000000000003</v>
      </c>
      <c r="Q5" s="17">
        <v>823.84000000000003</v>
      </c>
      <c r="R5" s="17">
        <v>823.84000000000003</v>
      </c>
      <c r="S5" s="17">
        <v>823.84000000000003</v>
      </c>
      <c r="T5" s="17">
        <v>823.84000000000003</v>
      </c>
      <c r="U5" s="17">
        <v>823.84000000000003</v>
      </c>
      <c r="V5" s="17">
        <v>978.75</v>
      </c>
      <c r="W5" s="17">
        <v>978.75</v>
      </c>
      <c r="X5" s="17">
        <v>978.75</v>
      </c>
      <c r="Y5" s="17">
        <v>978.75</v>
      </c>
      <c r="Z5" s="17">
        <v>978.75</v>
      </c>
      <c r="AA5" s="17">
        <v>978.75</v>
      </c>
      <c r="AB5" s="17">
        <v>978.75</v>
      </c>
      <c r="AC5" s="17">
        <v>978.75</v>
      </c>
      <c r="AD5" s="17">
        <v>978.75</v>
      </c>
      <c r="AE5" s="17">
        <v>978.75</v>
      </c>
      <c r="AF5" s="19">
        <f>MIN(C5:AE5)</f>
        <v>200.47999999999999</v>
      </c>
      <c r="AG5" s="20">
        <f>MAX(C5:AE5)</f>
        <v>978.75</v>
      </c>
      <c r="AH5" s="20">
        <f>AVERAGE(C5:AE5)</f>
        <v>850.59480000000008</v>
      </c>
      <c r="AI5" s="20">
        <f>AVERAGE(Q5:AE5)</f>
        <v>927.11333333333334</v>
      </c>
      <c r="AJ5" s="21">
        <f>(AI5/AH5)-1</f>
        <v>8.9958853890634183e-002</v>
      </c>
      <c r="AK5" s="21">
        <f>(AI5/AF5)-1</f>
        <v>3.6244679436020224</v>
      </c>
      <c r="AL5" s="21">
        <f>(AG5/AF5)-1</f>
        <v>3.8820331205107745</v>
      </c>
      <c r="AM5" s="22" t="s">
        <v>53</v>
      </c>
    </row>
    <row r="6" ht="36">
      <c r="A6" s="25" t="s">
        <v>48</v>
      </c>
      <c r="B6" s="26" t="s">
        <v>54</v>
      </c>
      <c r="C6" s="27"/>
      <c r="D6" s="24">
        <v>284.13</v>
      </c>
      <c r="E6" s="27"/>
      <c r="F6" s="27"/>
      <c r="G6" s="28">
        <v>403.11000000000001</v>
      </c>
      <c r="H6" s="28">
        <v>325.23000000000002</v>
      </c>
      <c r="I6" s="28">
        <v>647.89999999999998</v>
      </c>
      <c r="J6" s="17">
        <v>589</v>
      </c>
      <c r="K6" s="17">
        <v>700</v>
      </c>
      <c r="L6" s="17">
        <v>670</v>
      </c>
      <c r="M6" s="17">
        <v>647</v>
      </c>
      <c r="N6" s="17">
        <v>598.5</v>
      </c>
      <c r="O6" s="17">
        <v>612</v>
      </c>
      <c r="P6" s="17">
        <v>608</v>
      </c>
      <c r="Q6" s="17">
        <v>618.79999999999995</v>
      </c>
      <c r="R6" s="17">
        <v>614.99000000000001</v>
      </c>
      <c r="S6" s="17">
        <v>655.23000000000002</v>
      </c>
      <c r="T6" s="17">
        <v>639</v>
      </c>
      <c r="U6" s="17">
        <v>640</v>
      </c>
      <c r="V6" s="17">
        <v>696.10000000000002</v>
      </c>
      <c r="W6" s="17">
        <v>710</v>
      </c>
      <c r="X6" s="18">
        <v>717.78999999999996</v>
      </c>
      <c r="Y6" s="17">
        <v>709.99000000000001</v>
      </c>
      <c r="Z6" s="17">
        <v>709.99000000000001</v>
      </c>
      <c r="AA6" s="17">
        <v>702.97000000000003</v>
      </c>
      <c r="AB6" s="17">
        <v>703</v>
      </c>
      <c r="AC6" s="17">
        <v>703</v>
      </c>
      <c r="AD6" s="17">
        <v>714.80999999999995</v>
      </c>
      <c r="AE6" s="17">
        <v>710</v>
      </c>
      <c r="AF6" s="19">
        <f>MIN(C6:AE6)</f>
        <v>284.13</v>
      </c>
      <c r="AG6" s="20">
        <f>MAX(C6:AE6)</f>
        <v>717.78999999999996</v>
      </c>
      <c r="AH6" s="20">
        <f>AVERAGE(C6:AE6)</f>
        <v>628.09769230769223</v>
      </c>
      <c r="AI6" s="20">
        <f>AVERAGE(Q6:AE6)</f>
        <v>683.04466666666667</v>
      </c>
      <c r="AJ6" s="21">
        <f>(AI6/AH6)-1</f>
        <v>8.7481573379284194e-002</v>
      </c>
      <c r="AK6" s="21">
        <f>(AI6/AF6)-1</f>
        <v>1.4039864381327796</v>
      </c>
      <c r="AL6" s="21">
        <f>(AG6/AF6)-1</f>
        <v>1.5262731848097699</v>
      </c>
      <c r="AM6" s="22" t="s">
        <v>55</v>
      </c>
    </row>
    <row r="7" ht="36">
      <c r="A7" s="2" t="s">
        <v>48</v>
      </c>
      <c r="B7" s="3" t="s">
        <v>56</v>
      </c>
      <c r="C7" s="15"/>
      <c r="D7" s="15"/>
      <c r="E7" s="15"/>
      <c r="F7" s="15"/>
      <c r="G7" s="15"/>
      <c r="H7" s="15"/>
      <c r="I7" s="16">
        <v>685.71000000000004</v>
      </c>
      <c r="J7" s="17">
        <v>746.96000000000004</v>
      </c>
      <c r="K7" s="17">
        <v>734.78999999999996</v>
      </c>
      <c r="L7" s="17">
        <v>746.97000000000003</v>
      </c>
      <c r="M7" s="17">
        <v>804.22000000000003</v>
      </c>
      <c r="N7" s="17">
        <v>783.76999999999998</v>
      </c>
      <c r="O7" s="17">
        <v>731.50999999999999</v>
      </c>
      <c r="P7" s="18">
        <v>863.05999999999995</v>
      </c>
      <c r="Q7" s="18">
        <v>863.60000000000002</v>
      </c>
      <c r="R7" s="18">
        <v>822.25</v>
      </c>
      <c r="S7" s="17">
        <v>794.32000000000005</v>
      </c>
      <c r="T7" s="17">
        <v>749.99000000000001</v>
      </c>
      <c r="U7" s="17">
        <v>783.70000000000005</v>
      </c>
      <c r="V7" s="17">
        <v>807.03999999999996</v>
      </c>
      <c r="W7" s="18">
        <v>824.09000000000003</v>
      </c>
      <c r="X7" s="18">
        <v>827.74000000000001</v>
      </c>
      <c r="Y7" s="18">
        <v>824.50999999999999</v>
      </c>
      <c r="Z7" s="17">
        <v>796.15999999999997</v>
      </c>
      <c r="AA7" s="18">
        <v>813.62</v>
      </c>
      <c r="AB7" s="18">
        <v>887.78999999999996</v>
      </c>
      <c r="AC7" s="17">
        <v>795.28999999999996</v>
      </c>
      <c r="AD7" s="18">
        <v>887.78999999999996</v>
      </c>
      <c r="AE7" s="18">
        <v>823.61000000000001</v>
      </c>
      <c r="AF7" s="19">
        <f>MIN(C7:AE7)</f>
        <v>685.71000000000004</v>
      </c>
      <c r="AG7" s="20">
        <f>MAX(C7:AE7)</f>
        <v>887.78999999999996</v>
      </c>
      <c r="AH7" s="20">
        <f>AVERAGE(C7:AE7)</f>
        <v>799.93434782608699</v>
      </c>
      <c r="AI7" s="20">
        <f>AVERAGE(Q7:AE7)</f>
        <v>820.10000000000025</v>
      </c>
      <c r="AJ7" s="21">
        <f>(AI7/AH7)-1</f>
        <v>2.5209134010454326e-002</v>
      </c>
      <c r="AK7" s="21">
        <f>(AI7/AF7)-1</f>
        <v>0.1959866415831768</v>
      </c>
      <c r="AL7" s="21">
        <f>(AG7/AF7)-1</f>
        <v>0.29470184188651172</v>
      </c>
      <c r="AM7" s="22" t="s">
        <v>57</v>
      </c>
    </row>
    <row r="8" ht="18">
      <c r="A8" s="2" t="s">
        <v>58</v>
      </c>
      <c r="B8" s="3" t="s">
        <v>59</v>
      </c>
      <c r="C8" s="15"/>
      <c r="D8" s="16">
        <v>623.12</v>
      </c>
      <c r="E8" s="15"/>
      <c r="F8" s="15"/>
      <c r="G8" s="16">
        <v>549.98000000000002</v>
      </c>
      <c r="H8" s="16">
        <v>550.98000000000002</v>
      </c>
      <c r="I8" s="16">
        <v>550.98000000000002</v>
      </c>
      <c r="J8" s="24">
        <v>546.98000000000002</v>
      </c>
      <c r="K8" s="16">
        <v>552.98000000000002</v>
      </c>
      <c r="L8" s="16">
        <v>553.98000000000002</v>
      </c>
      <c r="M8" s="16">
        <v>553.98000000000002</v>
      </c>
      <c r="N8" s="16">
        <v>553.98000000000002</v>
      </c>
      <c r="O8" s="16">
        <v>567.98000000000002</v>
      </c>
      <c r="P8" s="16">
        <v>567.98000000000002</v>
      </c>
      <c r="Q8" s="16">
        <v>554.98000000000002</v>
      </c>
      <c r="R8" s="17">
        <v>575.98000000000002</v>
      </c>
      <c r="S8" s="24">
        <v>479</v>
      </c>
      <c r="T8" s="24">
        <v>465</v>
      </c>
      <c r="U8" s="17">
        <v>573.98000000000002</v>
      </c>
      <c r="V8" s="17">
        <v>573.98000000000002</v>
      </c>
      <c r="W8" s="17">
        <v>552.98000000000002</v>
      </c>
      <c r="X8" s="17">
        <v>555.91999999999996</v>
      </c>
      <c r="Y8" s="17">
        <v>547.98000000000002</v>
      </c>
      <c r="Z8" s="17">
        <v>547.98000000000002</v>
      </c>
      <c r="AA8" s="17">
        <v>574.46000000000004</v>
      </c>
      <c r="AB8" s="17">
        <v>556.89999999999998</v>
      </c>
      <c r="AC8" s="17">
        <v>556.89999999999998</v>
      </c>
      <c r="AD8" s="17">
        <v>557.98000000000002</v>
      </c>
      <c r="AE8" s="17">
        <v>591.88</v>
      </c>
      <c r="AF8" s="19">
        <f>MIN(C8:AE8)</f>
        <v>465</v>
      </c>
      <c r="AG8" s="20">
        <f>MAX(C8:AE8)</f>
        <v>623.12</v>
      </c>
      <c r="AH8" s="20">
        <f>AVERAGE(C8:AE8)</f>
        <v>555.33923076923054</v>
      </c>
      <c r="AI8" s="20">
        <f>AVERAGE(Q8:AE8)</f>
        <v>551.05999999999983</v>
      </c>
      <c r="AJ8" s="21">
        <f>(AI8/AH8)-1</f>
        <v>-7.7056158328726587e-003</v>
      </c>
      <c r="AK8" s="21">
        <f>(AI8/AF8)-1</f>
        <v>0.18507526881720393</v>
      </c>
      <c r="AL8" s="21">
        <f>(AG8/AF8)-1</f>
        <v>0.34004301075268817</v>
      </c>
      <c r="AM8" s="22" t="s">
        <v>60</v>
      </c>
      <c r="AN8" s="1"/>
    </row>
    <row r="9" ht="18">
      <c r="A9" s="2" t="s">
        <v>61</v>
      </c>
      <c r="B9" s="3" t="s">
        <v>62</v>
      </c>
      <c r="C9" s="15"/>
      <c r="D9" s="16"/>
      <c r="E9" s="15"/>
      <c r="F9" s="15"/>
      <c r="G9" s="24">
        <v>122</v>
      </c>
      <c r="H9" s="24">
        <v>122</v>
      </c>
      <c r="I9" s="24">
        <v>122</v>
      </c>
      <c r="J9" s="24">
        <v>122</v>
      </c>
      <c r="K9" s="24">
        <v>122</v>
      </c>
      <c r="L9" s="24">
        <v>122</v>
      </c>
      <c r="M9" s="24">
        <v>122</v>
      </c>
      <c r="N9" s="24">
        <v>122</v>
      </c>
      <c r="O9" s="24">
        <v>122</v>
      </c>
      <c r="P9" s="24">
        <v>122</v>
      </c>
      <c r="Q9" s="24">
        <v>122</v>
      </c>
      <c r="R9" s="24">
        <v>122</v>
      </c>
      <c r="S9" s="24">
        <v>122</v>
      </c>
      <c r="T9" s="24">
        <v>122</v>
      </c>
      <c r="U9" s="24">
        <v>122</v>
      </c>
      <c r="V9" s="24">
        <v>122</v>
      </c>
      <c r="W9" s="24">
        <v>122</v>
      </c>
      <c r="X9" s="17">
        <v>157</v>
      </c>
      <c r="Y9" s="17">
        <v>157</v>
      </c>
      <c r="Z9" s="17">
        <v>157</v>
      </c>
      <c r="AA9" s="17">
        <v>157</v>
      </c>
      <c r="AB9" s="17">
        <v>157</v>
      </c>
      <c r="AC9" s="17">
        <v>169</v>
      </c>
      <c r="AD9" s="17">
        <v>159.99000000000001</v>
      </c>
      <c r="AE9" s="17">
        <v>159.99000000000001</v>
      </c>
      <c r="AF9" s="19">
        <f>MIN(C9:AE9)</f>
        <v>122</v>
      </c>
      <c r="AG9" s="20">
        <f>MAX(C9:AE9)</f>
        <v>169</v>
      </c>
      <c r="AH9" s="20">
        <f>AVERAGE(C9:AE9)</f>
        <v>133.91919999999999</v>
      </c>
      <c r="AI9" s="20">
        <f>AVERAGE(Q9:AE9)</f>
        <v>141.86533333333333</v>
      </c>
      <c r="AJ9" s="21">
        <f>(AI9/AH9)-1</f>
        <v>5.9335280776269039e-002</v>
      </c>
      <c r="AK9" s="21">
        <f>(AI9/AF9)-1</f>
        <v>0.16283060109289615</v>
      </c>
      <c r="AL9" s="21">
        <f>(AG9/AF9)-1</f>
        <v>0.38524590163934436</v>
      </c>
      <c r="AM9" s="29" t="s">
        <v>63</v>
      </c>
    </row>
    <row r="10" ht="18">
      <c r="A10" s="2" t="s">
        <v>61</v>
      </c>
      <c r="B10" s="3" t="s">
        <v>64</v>
      </c>
      <c r="C10" s="15"/>
      <c r="D10" s="16"/>
      <c r="E10" s="15"/>
      <c r="F10" s="15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>
        <v>349</v>
      </c>
      <c r="AC10" s="16">
        <v>349</v>
      </c>
      <c r="AD10" s="16">
        <v>349</v>
      </c>
      <c r="AE10" s="24">
        <v>306.94</v>
      </c>
      <c r="AF10" s="19">
        <f>MIN(C10:AE10)</f>
        <v>306.94</v>
      </c>
      <c r="AG10" s="20">
        <f>MAX(C10:AE10)</f>
        <v>349</v>
      </c>
      <c r="AH10" s="20">
        <f>AVERAGE(C10:AE10)</f>
        <v>338.48500000000001</v>
      </c>
      <c r="AI10" s="20">
        <f>AVERAGE(Q10:AE10)</f>
        <v>338.48500000000001</v>
      </c>
      <c r="AJ10" s="21">
        <f>(AI10/AH10)-1</f>
        <v>0</v>
      </c>
      <c r="AK10" s="21">
        <f>(AI10/AF10)-1</f>
        <v>0.10277252883299681</v>
      </c>
      <c r="AL10" s="21">
        <f>(AG10/AF10)-1</f>
        <v>0.13703003844399553</v>
      </c>
      <c r="AM10" s="29" t="s">
        <v>65</v>
      </c>
    </row>
    <row r="11" ht="18">
      <c r="A11" s="2" t="s">
        <v>61</v>
      </c>
      <c r="B11" s="3" t="s">
        <v>66</v>
      </c>
      <c r="C11" s="15"/>
      <c r="D11" s="16"/>
      <c r="E11" s="15"/>
      <c r="F11" s="15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>
        <v>515</v>
      </c>
      <c r="AC11" s="16">
        <v>467</v>
      </c>
      <c r="AD11" s="16">
        <v>467</v>
      </c>
      <c r="AE11" s="16">
        <v>467.06999999999999</v>
      </c>
      <c r="AF11" s="19">
        <f>MIN(C11:AE11)</f>
        <v>467</v>
      </c>
      <c r="AG11" s="20">
        <f>MAX(C11:AE11)</f>
        <v>515</v>
      </c>
      <c r="AH11" s="20">
        <f>AVERAGE(C11:AE11)</f>
        <v>479.01749999999998</v>
      </c>
      <c r="AI11" s="20">
        <f>AVERAGE(Q11:AE11)</f>
        <v>479.01749999999998</v>
      </c>
      <c r="AJ11" s="21">
        <f>(AI11/AH11)-1</f>
        <v>0</v>
      </c>
      <c r="AK11" s="21">
        <f>(AI11/AF11)-1</f>
        <v>2.5733404710920782e-002</v>
      </c>
      <c r="AL11" s="21">
        <f>(AG11/AF11)-1</f>
        <v>0.10278372591006435</v>
      </c>
      <c r="AM11" s="29" t="s">
        <v>67</v>
      </c>
    </row>
    <row r="12" ht="18">
      <c r="A12" s="2" t="s">
        <v>61</v>
      </c>
      <c r="B12" s="3" t="s">
        <v>68</v>
      </c>
      <c r="C12" s="15"/>
      <c r="D12" s="16"/>
      <c r="E12" s="15"/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>
        <v>173.84</v>
      </c>
      <c r="AC12" s="16">
        <v>179.88999999999999</v>
      </c>
      <c r="AD12" s="16">
        <v>165.13999999999999</v>
      </c>
      <c r="AE12" s="16">
        <v>172.31999999999999</v>
      </c>
      <c r="AF12" s="19">
        <f>MIN(C12:AE12)</f>
        <v>165.13999999999999</v>
      </c>
      <c r="AG12" s="20">
        <f>MAX(C12:AE12)</f>
        <v>179.88999999999999</v>
      </c>
      <c r="AH12" s="20">
        <f>AVERAGE(C12:AE12)</f>
        <v>172.79750000000001</v>
      </c>
      <c r="AI12" s="20">
        <f>AVERAGE(Q12:AE12)</f>
        <v>172.79750000000001</v>
      </c>
      <c r="AJ12" s="21">
        <f>(AI12/AH12)-1</f>
        <v>0</v>
      </c>
      <c r="AK12" s="21">
        <f>(AI12/AF12)-1</f>
        <v>4.6369746881434137e-002</v>
      </c>
      <c r="AL12" s="21">
        <f>(AG12/AF12)-1</f>
        <v>8.931815429332679e-002</v>
      </c>
      <c r="AM12" s="29" t="s">
        <v>69</v>
      </c>
    </row>
    <row r="13" ht="36">
      <c r="A13" s="25" t="s">
        <v>70</v>
      </c>
      <c r="B13" s="26" t="s">
        <v>71</v>
      </c>
      <c r="C13" s="27"/>
      <c r="D13" s="24">
        <v>684.98000000000002</v>
      </c>
      <c r="E13" s="27"/>
      <c r="F13" s="27"/>
      <c r="G13" s="28">
        <v>839</v>
      </c>
      <c r="H13" s="28">
        <v>857.05999999999995</v>
      </c>
      <c r="I13" s="28">
        <v>826.44000000000005</v>
      </c>
      <c r="J13" s="28">
        <v>853.54999999999995</v>
      </c>
      <c r="K13" s="28">
        <v>853.20000000000005</v>
      </c>
      <c r="L13" s="28">
        <v>940.37</v>
      </c>
      <c r="M13" s="28">
        <v>928.10000000000002</v>
      </c>
      <c r="N13" s="28">
        <v>1084.8299999999999</v>
      </c>
      <c r="O13" s="28">
        <v>1084.8299999999999</v>
      </c>
      <c r="P13" s="16" t="s">
        <v>50</v>
      </c>
      <c r="Q13" s="16" t="s">
        <v>50</v>
      </c>
      <c r="R13" s="16" t="s">
        <v>50</v>
      </c>
      <c r="S13" s="30">
        <v>1426.5699999999999</v>
      </c>
      <c r="T13" s="16" t="s">
        <v>50</v>
      </c>
      <c r="U13" s="24">
        <v>592.17999999999995</v>
      </c>
      <c r="V13" s="24">
        <v>606.50999999999999</v>
      </c>
      <c r="W13" s="24">
        <v>608.62</v>
      </c>
      <c r="X13" s="24">
        <v>623.23000000000002</v>
      </c>
      <c r="Y13" s="16" t="s">
        <v>50</v>
      </c>
      <c r="Z13" s="16" t="s">
        <v>50</v>
      </c>
      <c r="AA13" s="16" t="s">
        <v>50</v>
      </c>
      <c r="AB13" s="16" t="s">
        <v>50</v>
      </c>
      <c r="AC13" s="16" t="s">
        <v>50</v>
      </c>
      <c r="AD13" s="16" t="s">
        <v>50</v>
      </c>
      <c r="AE13" s="16" t="s">
        <v>50</v>
      </c>
      <c r="AF13" s="19">
        <f>MIN(C13:AE13)</f>
        <v>592.17999999999995</v>
      </c>
      <c r="AG13" s="20">
        <f>MAX(C13:AE13)</f>
        <v>1426.5699999999999</v>
      </c>
      <c r="AH13" s="20">
        <f>AVERAGE(C13:AE13)</f>
        <v>853.96466666666674</v>
      </c>
      <c r="AI13" s="20">
        <f>AVERAGE(Q13:AE13)</f>
        <v>771.42200000000003</v>
      </c>
      <c r="AJ13" s="21">
        <f>(AI13/AH13)-1</f>
        <v>-9.665817555293077e-002</v>
      </c>
      <c r="AK13" s="21">
        <f>(AI13/AF13)-1</f>
        <v>0.30268161707588925</v>
      </c>
      <c r="AL13" s="21">
        <f>(AG13/AF13)-1</f>
        <v>1.4090141511027054</v>
      </c>
      <c r="AM13" s="22" t="s">
        <v>72</v>
      </c>
    </row>
    <row r="14" ht="18">
      <c r="A14" s="2" t="s">
        <v>70</v>
      </c>
      <c r="B14" s="3" t="s">
        <v>73</v>
      </c>
      <c r="C14" s="15"/>
      <c r="D14" s="15"/>
      <c r="E14" s="15"/>
      <c r="F14" s="15"/>
      <c r="G14" s="15"/>
      <c r="H14" s="15"/>
      <c r="I14" s="15"/>
      <c r="J14" s="16">
        <v>580.98000000000002</v>
      </c>
      <c r="K14" s="16">
        <v>596.89999999999998</v>
      </c>
      <c r="L14" s="16">
        <v>596.60000000000002</v>
      </c>
      <c r="M14" s="16">
        <v>585.98000000000002</v>
      </c>
      <c r="N14" s="16">
        <v>594</v>
      </c>
      <c r="O14" s="17">
        <v>703.84000000000003</v>
      </c>
      <c r="P14" s="17">
        <v>709.99000000000001</v>
      </c>
      <c r="Q14" s="17">
        <v>679</v>
      </c>
      <c r="R14" s="17">
        <v>709.89999999999998</v>
      </c>
      <c r="S14" s="17">
        <v>698.99000000000001</v>
      </c>
      <c r="T14" s="17">
        <v>699</v>
      </c>
      <c r="U14" s="17">
        <v>679</v>
      </c>
      <c r="V14" s="17">
        <v>669.10000000000002</v>
      </c>
      <c r="W14" s="17">
        <v>678.97000000000003</v>
      </c>
      <c r="X14" s="17">
        <v>599.99000000000001</v>
      </c>
      <c r="Y14" s="17">
        <v>678</v>
      </c>
      <c r="Z14" s="17">
        <v>597.99000000000001</v>
      </c>
      <c r="AA14" s="17">
        <v>649.99000000000001</v>
      </c>
      <c r="AB14" s="17">
        <v>660.99000000000001</v>
      </c>
      <c r="AC14" s="17">
        <v>647.98000000000002</v>
      </c>
      <c r="AD14" s="17">
        <v>608.89999999999998</v>
      </c>
      <c r="AE14" s="16">
        <v>597.99000000000001</v>
      </c>
      <c r="AF14" s="19">
        <f>MIN(C14:AE14)</f>
        <v>580.98000000000002</v>
      </c>
      <c r="AG14" s="20">
        <f>MAX(C14:AE14)</f>
        <v>709.99000000000001</v>
      </c>
      <c r="AH14" s="20">
        <f>AVERAGE(C14:AE14)</f>
        <v>646.54909090909075</v>
      </c>
      <c r="AI14" s="20">
        <f>AVERAGE(Q14:AE14)</f>
        <v>657.0526666666666</v>
      </c>
      <c r="AJ14" s="21">
        <f>(AI14/AH14)-1</f>
        <v>1.6245596668935214e-002</v>
      </c>
      <c r="AK14" s="21">
        <f>(AI14/AF14)-1</f>
        <v>0.13093852915189252</v>
      </c>
      <c r="AL14" s="21">
        <f>(AG14/AF14)-1</f>
        <v>0.22205583668973117</v>
      </c>
      <c r="AM14" s="22" t="s">
        <v>74</v>
      </c>
    </row>
    <row r="15" ht="18">
      <c r="A15" s="2" t="s">
        <v>70</v>
      </c>
      <c r="B15" s="3" t="s">
        <v>75</v>
      </c>
      <c r="C15" s="15"/>
      <c r="D15" s="15"/>
      <c r="E15" s="15"/>
      <c r="F15" s="15"/>
      <c r="G15" s="15"/>
      <c r="H15" s="15"/>
      <c r="I15" s="15"/>
      <c r="J15" s="16">
        <v>622.63</v>
      </c>
      <c r="K15" s="16">
        <v>665.84000000000003</v>
      </c>
      <c r="L15" s="16">
        <v>642.09000000000003</v>
      </c>
      <c r="M15" s="16">
        <v>718.46000000000004</v>
      </c>
      <c r="N15" s="16">
        <v>677.86000000000001</v>
      </c>
      <c r="O15" s="16">
        <v>667.99000000000001</v>
      </c>
      <c r="P15" s="16">
        <v>669.99000000000001</v>
      </c>
      <c r="Q15" s="16">
        <v>675</v>
      </c>
      <c r="R15" s="16">
        <v>728.61000000000001</v>
      </c>
      <c r="S15" s="16">
        <v>706.87</v>
      </c>
      <c r="T15" s="16">
        <v>705.61000000000001</v>
      </c>
      <c r="U15" s="16">
        <v>700.36000000000001</v>
      </c>
      <c r="V15" s="16">
        <v>684.46000000000004</v>
      </c>
      <c r="W15" s="16">
        <v>689</v>
      </c>
      <c r="X15" s="16">
        <v>679</v>
      </c>
      <c r="Y15" s="16">
        <v>679</v>
      </c>
      <c r="Z15" s="16">
        <v>679</v>
      </c>
      <c r="AA15" s="16">
        <v>679</v>
      </c>
      <c r="AB15" s="16">
        <v>679</v>
      </c>
      <c r="AC15" s="16">
        <v>679.28999999999996</v>
      </c>
      <c r="AD15" s="16">
        <v>675.62</v>
      </c>
      <c r="AE15" s="16">
        <v>675.62</v>
      </c>
      <c r="AF15" s="19">
        <f>MIN(C15:AE15)</f>
        <v>622.63</v>
      </c>
      <c r="AG15" s="20">
        <f>MAX(C15:AE15)</f>
        <v>728.61000000000001</v>
      </c>
      <c r="AH15" s="20">
        <f>AVERAGE(C15:AE15)</f>
        <v>680.92272727272723</v>
      </c>
      <c r="AI15" s="20">
        <f>AVERAGE(Q15:AE15)</f>
        <v>687.69600000000014</v>
      </c>
      <c r="AJ15" s="21">
        <f>(AI15/AH15)-1</f>
        <v>9.9471973191460616e-003</v>
      </c>
      <c r="AK15" s="21">
        <f>(AI15/AF15)-1</f>
        <v>0.10450187109519327</v>
      </c>
      <c r="AL15" s="21">
        <f>(AG15/AF15)-1</f>
        <v>0.17021344940012528</v>
      </c>
      <c r="AM15" s="22" t="s">
        <v>76</v>
      </c>
    </row>
    <row r="16" ht="18">
      <c r="A16" s="25" t="s">
        <v>70</v>
      </c>
      <c r="B16" s="26" t="s">
        <v>77</v>
      </c>
      <c r="C16" s="27"/>
      <c r="D16" s="28"/>
      <c r="E16" s="27"/>
      <c r="F16" s="27"/>
      <c r="G16" s="31">
        <v>9100</v>
      </c>
      <c r="H16" s="31">
        <v>9100</v>
      </c>
      <c r="I16" s="31">
        <v>9100</v>
      </c>
      <c r="J16" s="31">
        <v>9100</v>
      </c>
      <c r="K16" s="31">
        <v>9100</v>
      </c>
      <c r="L16" s="31">
        <v>9100</v>
      </c>
      <c r="M16" s="31">
        <v>9100</v>
      </c>
      <c r="N16" s="31">
        <v>9100</v>
      </c>
      <c r="O16" s="31">
        <v>9100</v>
      </c>
      <c r="P16" s="16">
        <v>9489.0400000000009</v>
      </c>
      <c r="Q16" s="16">
        <v>9486.2600000000002</v>
      </c>
      <c r="R16" s="16">
        <v>9395.2900000000009</v>
      </c>
      <c r="S16" s="16">
        <v>11230</v>
      </c>
      <c r="T16" s="16">
        <v>11004</v>
      </c>
      <c r="U16" s="16">
        <v>11315.18</v>
      </c>
      <c r="V16" s="16">
        <v>10867.4</v>
      </c>
      <c r="W16" s="16">
        <v>10757.610000000001</v>
      </c>
      <c r="X16" s="16">
        <v>10790.610000000001</v>
      </c>
      <c r="Y16" s="16">
        <v>10799.02</v>
      </c>
      <c r="Z16" s="16">
        <v>10798.99</v>
      </c>
      <c r="AA16" s="16">
        <v>10757.610000000001</v>
      </c>
      <c r="AB16" s="16">
        <v>10757.610000000001</v>
      </c>
      <c r="AC16" s="16">
        <v>10741.540000000001</v>
      </c>
      <c r="AD16" s="16">
        <v>10701.66</v>
      </c>
      <c r="AE16" s="16">
        <v>10671.950000000001</v>
      </c>
      <c r="AF16" s="19">
        <f>MIN(C16:AE16)</f>
        <v>9100</v>
      </c>
      <c r="AG16" s="20">
        <f>MAX(C16:AE16)</f>
        <v>11315.18</v>
      </c>
      <c r="AH16" s="20">
        <f>AVERAGE(C16:AE16)</f>
        <v>10058.550799999999</v>
      </c>
      <c r="AI16" s="20">
        <f>AVERAGE(Q16:AE16)</f>
        <v>10671.64866666667</v>
      </c>
      <c r="AJ16" s="21">
        <f>(AI16/AH16)-1</f>
        <v>6.095290254602781e-002</v>
      </c>
      <c r="AK16" s="21">
        <f>(AI16/AF16)-1</f>
        <v>0.172708644688645</v>
      </c>
      <c r="AL16" s="21">
        <f>(AG16/AF16)-1</f>
        <v>0.24342637362637376</v>
      </c>
      <c r="AM16" s="22" t="s">
        <v>78</v>
      </c>
    </row>
    <row r="17" ht="36">
      <c r="A17" s="2" t="s">
        <v>70</v>
      </c>
      <c r="B17" s="3" t="s">
        <v>79</v>
      </c>
      <c r="C17" s="15"/>
      <c r="D17" s="15"/>
      <c r="E17" s="15"/>
      <c r="F17" s="15"/>
      <c r="G17" s="15"/>
      <c r="H17" s="15"/>
      <c r="I17" s="15"/>
      <c r="J17" s="15"/>
      <c r="K17" s="16">
        <v>1297.6199999999999</v>
      </c>
      <c r="L17" s="16">
        <v>1297.6199999999999</v>
      </c>
      <c r="M17" s="16">
        <v>1416.98</v>
      </c>
      <c r="N17" s="16">
        <v>1417</v>
      </c>
      <c r="O17" s="17">
        <v>1691.6900000000001</v>
      </c>
      <c r="P17" s="17">
        <v>1697.6199999999999</v>
      </c>
      <c r="Q17" s="17">
        <v>1697.6199999999999</v>
      </c>
      <c r="R17" s="17">
        <v>1516</v>
      </c>
      <c r="S17" s="17">
        <v>1516</v>
      </c>
      <c r="T17" s="17">
        <v>1544.76</v>
      </c>
      <c r="U17" s="17">
        <v>1544.76</v>
      </c>
      <c r="V17" s="17">
        <v>1611.1400000000001</v>
      </c>
      <c r="W17" s="17">
        <v>1610.1400000000001</v>
      </c>
      <c r="X17" s="17">
        <v>1610.8900000000001</v>
      </c>
      <c r="Y17" s="17">
        <v>1610.8900000000001</v>
      </c>
      <c r="Z17" s="17">
        <v>1558.77</v>
      </c>
      <c r="AA17" s="17">
        <v>1558.77</v>
      </c>
      <c r="AB17" s="17">
        <v>1558.77</v>
      </c>
      <c r="AC17" s="17">
        <v>1516</v>
      </c>
      <c r="AD17" s="17">
        <v>1478.02</v>
      </c>
      <c r="AE17" s="17">
        <v>1379.99</v>
      </c>
      <c r="AF17" s="19">
        <f>MIN(C17:AE17)</f>
        <v>1297.6199999999999</v>
      </c>
      <c r="AG17" s="20">
        <f>MAX(C17:AE17)</f>
        <v>1697.6199999999999</v>
      </c>
      <c r="AH17" s="20">
        <f>AVERAGE(C17:AE17)</f>
        <v>1530.05</v>
      </c>
      <c r="AI17" s="20">
        <f>AVERAGE(Q17:AE17)</f>
        <v>1554.1680000000001</v>
      </c>
      <c r="AJ17" s="21">
        <f>(AI17/AH17)-1</f>
        <v>1.5762883565896724e-002</v>
      </c>
      <c r="AK17" s="21">
        <f>(AI17/AF17)-1</f>
        <v>0.19770657049059071</v>
      </c>
      <c r="AL17" s="21">
        <f>(AG17/AF17)-1</f>
        <v>0.30825665449052875</v>
      </c>
      <c r="AM17" s="22" t="s">
        <v>80</v>
      </c>
    </row>
    <row r="18" ht="18">
      <c r="A18" s="25" t="s">
        <v>70</v>
      </c>
      <c r="B18" s="26" t="s">
        <v>81</v>
      </c>
      <c r="C18" s="27"/>
      <c r="D18" s="28"/>
      <c r="E18" s="28"/>
      <c r="F18" s="28">
        <v>2279</v>
      </c>
      <c r="G18" s="28" t="s">
        <v>82</v>
      </c>
      <c r="H18" s="28" t="s">
        <v>82</v>
      </c>
      <c r="I18" s="28" t="s">
        <v>82</v>
      </c>
      <c r="J18" s="28" t="s">
        <v>82</v>
      </c>
      <c r="K18" s="28" t="s">
        <v>82</v>
      </c>
      <c r="L18" s="28" t="s">
        <v>82</v>
      </c>
      <c r="M18" s="28" t="s">
        <v>82</v>
      </c>
      <c r="N18" s="28" t="s">
        <v>82</v>
      </c>
      <c r="O18" s="28" t="s">
        <v>82</v>
      </c>
      <c r="P18" s="16" t="s">
        <v>82</v>
      </c>
      <c r="Q18" s="16" t="s">
        <v>82</v>
      </c>
      <c r="R18" s="16" t="s">
        <v>82</v>
      </c>
      <c r="S18" s="16" t="s">
        <v>82</v>
      </c>
      <c r="T18" s="16" t="s">
        <v>82</v>
      </c>
      <c r="U18" s="16" t="s">
        <v>82</v>
      </c>
      <c r="V18" s="16" t="s">
        <v>82</v>
      </c>
      <c r="W18" s="16" t="s">
        <v>82</v>
      </c>
      <c r="X18" s="16" t="s">
        <v>82</v>
      </c>
      <c r="Y18" s="16" t="s">
        <v>82</v>
      </c>
      <c r="Z18" s="16" t="s">
        <v>82</v>
      </c>
      <c r="AA18" s="16" t="s">
        <v>82</v>
      </c>
      <c r="AB18" s="16" t="s">
        <v>82</v>
      </c>
      <c r="AC18" s="16" t="s">
        <v>82</v>
      </c>
      <c r="AD18" s="16" t="s">
        <v>82</v>
      </c>
      <c r="AE18" s="16" t="s">
        <v>82</v>
      </c>
      <c r="AF18" s="19">
        <f>MIN(C18:AE18)</f>
        <v>2279</v>
      </c>
      <c r="AG18" s="20">
        <f>MAX(C18:AE18)</f>
        <v>2279</v>
      </c>
      <c r="AH18" s="20">
        <f>AVERAGE(C18:AE18)</f>
        <v>2279</v>
      </c>
      <c r="AI18" s="20" t="e">
        <f>AVERAGE(Q18:AE18)</f>
        <v>#NUM!</v>
      </c>
      <c r="AJ18" s="21" t="e">
        <f>(AI18/AH18)-1</f>
        <v>#NUM!</v>
      </c>
      <c r="AK18" s="21" t="e">
        <f>(AI18/AF18)-1</f>
        <v>#NUM!</v>
      </c>
      <c r="AL18" s="21">
        <f>(AG18/AF18)-1</f>
        <v>0</v>
      </c>
      <c r="AM18" s="22" t="s">
        <v>83</v>
      </c>
    </row>
    <row r="19" ht="36">
      <c r="A19" s="25" t="s">
        <v>70</v>
      </c>
      <c r="B19" s="26" t="s">
        <v>84</v>
      </c>
      <c r="C19" s="27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>
        <v>3499.9499999999998</v>
      </c>
      <c r="AD19" s="16">
        <v>3629</v>
      </c>
      <c r="AE19" s="16">
        <v>3394.9499999999998</v>
      </c>
      <c r="AF19" s="19">
        <f>MIN(C19:AE19)</f>
        <v>3394.9499999999998</v>
      </c>
      <c r="AG19" s="20">
        <f>MAX(C19:AE19)</f>
        <v>3629</v>
      </c>
      <c r="AH19" s="20">
        <f>AVERAGE(C19:AE19)</f>
        <v>3507.9666666666667</v>
      </c>
      <c r="AI19" s="20">
        <f>AVERAGE(Q19:AE19)</f>
        <v>3507.9666666666667</v>
      </c>
      <c r="AJ19" s="21">
        <f>(AI19/AH19)-1</f>
        <v>0</v>
      </c>
      <c r="AK19" s="21">
        <f>(AI19/AF19)-1</f>
        <v>3.3289640986366997e-002</v>
      </c>
      <c r="AL19" s="21">
        <f>(AG19/AF19)-1</f>
        <v>6.8940632409902891e-002</v>
      </c>
      <c r="AM19" s="29" t="s">
        <v>85</v>
      </c>
    </row>
    <row r="20" ht="18">
      <c r="A20" s="25" t="s">
        <v>70</v>
      </c>
      <c r="B20" s="26" t="s">
        <v>86</v>
      </c>
      <c r="C20" s="27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>
        <v>1624.75</v>
      </c>
      <c r="AD20" s="16">
        <v>1601.5</v>
      </c>
      <c r="AE20" s="16">
        <v>1618.97</v>
      </c>
      <c r="AF20" s="19">
        <f>MIN(C20:AE20)</f>
        <v>1601.5</v>
      </c>
      <c r="AG20" s="20">
        <f>MAX(C20:AE20)</f>
        <v>1624.75</v>
      </c>
      <c r="AH20" s="20">
        <f>AVERAGE(C20:AE20)</f>
        <v>1615.0733333333335</v>
      </c>
      <c r="AI20" s="20">
        <f>AVERAGE(Q20:AE20)</f>
        <v>1615.0733333333335</v>
      </c>
      <c r="AJ20" s="21">
        <f>(AI20/AH20)-1</f>
        <v>0</v>
      </c>
      <c r="AK20" s="21">
        <f>(AI20/AF20)-1</f>
        <v>8.4753876574046316e-003</v>
      </c>
      <c r="AL20" s="21">
        <f>(AG20/AF20)-1</f>
        <v>1.4517639712769315e-002</v>
      </c>
      <c r="AM20" s="29" t="s">
        <v>87</v>
      </c>
    </row>
    <row r="21" ht="18">
      <c r="A21" s="25" t="s">
        <v>70</v>
      </c>
      <c r="B21" s="26" t="s">
        <v>88</v>
      </c>
      <c r="C21" s="27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>
        <v>759.95000000000005</v>
      </c>
      <c r="AD21" s="16">
        <v>692.88999999999999</v>
      </c>
      <c r="AE21" s="16">
        <v>692.88999999999999</v>
      </c>
      <c r="AF21" s="19">
        <f>MIN(C21:AE21)</f>
        <v>692.88999999999999</v>
      </c>
      <c r="AG21" s="20">
        <f>MAX(C21:AE21)</f>
        <v>759.95000000000005</v>
      </c>
      <c r="AH21" s="20">
        <f>AVERAGE(C21:AE21)</f>
        <v>715.24333333333334</v>
      </c>
      <c r="AI21" s="20">
        <f>AVERAGE(Q21:AE21)</f>
        <v>715.24333333333334</v>
      </c>
      <c r="AJ21" s="21">
        <f>(AI21/AH21)-1</f>
        <v>0</v>
      </c>
      <c r="AK21" s="21">
        <f>(AI21/AF21)-1</f>
        <v>3.2261013051614773e-002</v>
      </c>
      <c r="AL21" s="21">
        <f>(AG21/AF21)-1</f>
        <v>9.6783039154844319e-002</v>
      </c>
      <c r="AM21" s="29" t="s">
        <v>89</v>
      </c>
    </row>
    <row r="22" ht="18">
      <c r="A22" s="25" t="s">
        <v>70</v>
      </c>
      <c r="B22" s="26" t="s">
        <v>90</v>
      </c>
      <c r="C22" s="27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>
        <v>1410.9000000000001</v>
      </c>
      <c r="AE22" s="16">
        <v>1323.99</v>
      </c>
      <c r="AF22" s="19">
        <f>MIN(C22:AE22)</f>
        <v>1323.99</v>
      </c>
      <c r="AG22" s="20">
        <f>MAX(C22:AE22)</f>
        <v>1410.9000000000001</v>
      </c>
      <c r="AH22" s="20">
        <f>AVERAGE(C22:AE22)</f>
        <v>1367.4450000000002</v>
      </c>
      <c r="AI22" s="20">
        <f>AVERAGE(Q22:AE22)</f>
        <v>1367.4450000000002</v>
      </c>
      <c r="AJ22" s="21">
        <f>(AI22/AH22)-1</f>
        <v>0</v>
      </c>
      <c r="AK22" s="21">
        <f>(AI22/AF22)-1</f>
        <v>3.2821244873450839e-002</v>
      </c>
      <c r="AL22" s="21">
        <f>(AG22/AF22)-1</f>
        <v>6.5642489746901456e-002</v>
      </c>
      <c r="AM22" s="29" t="s">
        <v>91</v>
      </c>
    </row>
    <row r="23" ht="18">
      <c r="A23" s="2" t="s">
        <v>70</v>
      </c>
      <c r="B23" s="3" t="s">
        <v>92</v>
      </c>
      <c r="C23" s="24">
        <v>176.69</v>
      </c>
      <c r="D23" s="16"/>
      <c r="E23" s="16"/>
      <c r="F23" s="16"/>
      <c r="G23" s="24">
        <v>150</v>
      </c>
      <c r="H23" s="16">
        <v>150</v>
      </c>
      <c r="I23" s="16">
        <v>199</v>
      </c>
      <c r="J23" s="16">
        <v>199</v>
      </c>
      <c r="K23" s="16">
        <v>199</v>
      </c>
      <c r="L23" s="24">
        <v>145</v>
      </c>
      <c r="M23" s="24">
        <v>150</v>
      </c>
      <c r="N23" s="24">
        <v>150</v>
      </c>
      <c r="O23" s="24">
        <v>148.05000000000001</v>
      </c>
      <c r="P23" s="18">
        <v>219.69</v>
      </c>
      <c r="Q23" s="30">
        <v>237.69999999999999</v>
      </c>
      <c r="R23" s="30">
        <v>237.69999999999999</v>
      </c>
      <c r="S23" s="30">
        <v>237.69999999999999</v>
      </c>
      <c r="T23" s="30">
        <v>237.69999999999999</v>
      </c>
      <c r="U23" s="30">
        <v>237.69999999999999</v>
      </c>
      <c r="V23" s="30">
        <v>228</v>
      </c>
      <c r="W23" s="30">
        <v>228</v>
      </c>
      <c r="X23" s="30">
        <v>228</v>
      </c>
      <c r="Y23" s="30">
        <v>260</v>
      </c>
      <c r="Z23" s="30">
        <v>260</v>
      </c>
      <c r="AA23" s="30">
        <v>260</v>
      </c>
      <c r="AB23" s="30">
        <v>260</v>
      </c>
      <c r="AC23" s="30">
        <v>260</v>
      </c>
      <c r="AD23" s="30">
        <v>260</v>
      </c>
      <c r="AE23" s="30">
        <v>260</v>
      </c>
      <c r="AF23" s="19">
        <f>MIN(C23:AE23)</f>
        <v>145</v>
      </c>
      <c r="AG23" s="20">
        <f>MAX(C23:AE23)</f>
        <v>260</v>
      </c>
      <c r="AH23" s="20">
        <f>AVERAGE(C23:AE23)</f>
        <v>214.57423076923075</v>
      </c>
      <c r="AI23" s="20">
        <f>AVERAGE(Q23:AE23)</f>
        <v>246.16666666666666</v>
      </c>
      <c r="AJ23" s="21">
        <f>(AI23/AH23)-1</f>
        <v>0.14723313132327043</v>
      </c>
      <c r="AK23" s="21">
        <f>(AI23/AF23)-1</f>
        <v>0.69770114942528738</v>
      </c>
      <c r="AL23" s="21">
        <f>(AG23/AF23)-1</f>
        <v>0.7931034482758621</v>
      </c>
      <c r="AM23" s="22" t="s">
        <v>93</v>
      </c>
    </row>
    <row r="24" ht="18">
      <c r="A24" s="2" t="s">
        <v>70</v>
      </c>
      <c r="B24" s="3" t="s">
        <v>94</v>
      </c>
      <c r="C24" s="16"/>
      <c r="D24" s="16"/>
      <c r="E24" s="16"/>
      <c r="F24" s="16"/>
      <c r="G24" s="16">
        <v>179</v>
      </c>
      <c r="H24" s="16">
        <v>179</v>
      </c>
      <c r="I24" s="16">
        <v>180</v>
      </c>
      <c r="J24" s="24">
        <v>176.91999999999999</v>
      </c>
      <c r="K24" s="24">
        <v>176.91999999999999</v>
      </c>
      <c r="L24" s="24">
        <v>176.91999999999999</v>
      </c>
      <c r="M24" s="24">
        <v>176.91999999999999</v>
      </c>
      <c r="N24" s="24">
        <v>179</v>
      </c>
      <c r="O24" s="24">
        <v>180</v>
      </c>
      <c r="P24" s="17">
        <v>198.90000000000001</v>
      </c>
      <c r="Q24" s="17">
        <v>203.93000000000001</v>
      </c>
      <c r="R24" s="17">
        <v>208.97</v>
      </c>
      <c r="S24" s="17">
        <v>212.09</v>
      </c>
      <c r="T24" s="17">
        <v>212.31</v>
      </c>
      <c r="U24" s="16" t="s">
        <v>50</v>
      </c>
      <c r="V24" s="18">
        <v>229.94999999999999</v>
      </c>
      <c r="W24" s="18">
        <v>229.94</v>
      </c>
      <c r="X24" s="18">
        <v>230</v>
      </c>
      <c r="Y24" s="30">
        <v>270</v>
      </c>
      <c r="Z24" s="30">
        <v>270</v>
      </c>
      <c r="AA24" s="30">
        <v>270</v>
      </c>
      <c r="AB24" s="30">
        <v>270</v>
      </c>
      <c r="AC24" s="30">
        <v>270</v>
      </c>
      <c r="AD24" s="30">
        <v>270</v>
      </c>
      <c r="AE24" s="30">
        <v>270</v>
      </c>
      <c r="AF24" s="19">
        <f>MIN(C24:AE24)</f>
        <v>176.91999999999999</v>
      </c>
      <c r="AG24" s="20">
        <f>MAX(C24:AE24)</f>
        <v>270</v>
      </c>
      <c r="AH24" s="20">
        <f>AVERAGE(C24:AE24)</f>
        <v>217.53208333333336</v>
      </c>
      <c r="AI24" s="20">
        <f>AVERAGE(Q24:AE24)</f>
        <v>244.08500000000001</v>
      </c>
      <c r="AJ24" s="21">
        <f>(AI24/AH24)-1</f>
        <v>0.12206436981518043</v>
      </c>
      <c r="AK24" s="21">
        <f>(AI24/AF24)-1</f>
        <v>0.37963486321501261</v>
      </c>
      <c r="AL24" s="21">
        <f>(AG24/AF24)-1</f>
        <v>0.52611349762604576</v>
      </c>
      <c r="AM24" s="22" t="s">
        <v>95</v>
      </c>
    </row>
    <row r="25" ht="18">
      <c r="A25" s="25" t="s">
        <v>70</v>
      </c>
      <c r="B25" s="26" t="s">
        <v>96</v>
      </c>
      <c r="C25" s="28"/>
      <c r="D25" s="28"/>
      <c r="E25" s="28"/>
      <c r="F25" s="28"/>
      <c r="G25" s="28">
        <v>396.77999999999997</v>
      </c>
      <c r="H25" s="28">
        <v>396.77999999999997</v>
      </c>
      <c r="I25" s="28" t="s">
        <v>50</v>
      </c>
      <c r="J25" s="28" t="s">
        <v>50</v>
      </c>
      <c r="K25" s="28" t="s">
        <v>50</v>
      </c>
      <c r="L25" s="28" t="s">
        <v>50</v>
      </c>
      <c r="M25" s="28" t="s">
        <v>50</v>
      </c>
      <c r="N25" s="28" t="s">
        <v>50</v>
      </c>
      <c r="O25" s="28" t="s">
        <v>50</v>
      </c>
      <c r="P25" s="16" t="s">
        <v>50</v>
      </c>
      <c r="Q25" s="16" t="s">
        <v>50</v>
      </c>
      <c r="R25" s="16">
        <v>413</v>
      </c>
      <c r="S25" s="16">
        <v>453.01999999999998</v>
      </c>
      <c r="T25" s="16">
        <v>408.87</v>
      </c>
      <c r="U25" s="16" t="s">
        <v>50</v>
      </c>
      <c r="V25" s="16">
        <v>453.04000000000002</v>
      </c>
      <c r="W25" s="16">
        <v>453.04000000000002</v>
      </c>
      <c r="X25" s="16">
        <v>349</v>
      </c>
      <c r="Y25" s="16">
        <v>349</v>
      </c>
      <c r="Z25" s="16">
        <v>349</v>
      </c>
      <c r="AA25" s="16">
        <v>349</v>
      </c>
      <c r="AB25" s="16">
        <v>349</v>
      </c>
      <c r="AC25" s="16">
        <v>349</v>
      </c>
      <c r="AD25" s="16">
        <v>349</v>
      </c>
      <c r="AE25" s="16">
        <v>349</v>
      </c>
      <c r="AF25" s="19">
        <f>MIN(C25:AE25)</f>
        <v>349</v>
      </c>
      <c r="AG25" s="20">
        <f>MAX(C25:AE25)</f>
        <v>453.04000000000002</v>
      </c>
      <c r="AH25" s="20">
        <f>AVERAGE(C25:AE25)</f>
        <v>384.43533333333329</v>
      </c>
      <c r="AI25" s="20">
        <f>AVERAGE(Q25:AE25)</f>
        <v>382.53615384615381</v>
      </c>
      <c r="AJ25" s="21">
        <f>(AI25/AH25)-1</f>
        <v>-4.9401793292833673e-003</v>
      </c>
      <c r="AK25" s="21">
        <f>(AI25/AF25)-1</f>
        <v>9.6092131364337474e-002</v>
      </c>
      <c r="AL25" s="21">
        <f>(AG25/AF25)-1</f>
        <v>0.29810888252148993</v>
      </c>
      <c r="AM25" s="29" t="s">
        <v>97</v>
      </c>
    </row>
    <row r="26" ht="54">
      <c r="A26" s="2" t="s">
        <v>98</v>
      </c>
      <c r="B26" s="3" t="s">
        <v>99</v>
      </c>
      <c r="C26" s="16"/>
      <c r="D26" s="16"/>
      <c r="E26" s="16"/>
      <c r="F26" s="16"/>
      <c r="G26" s="16">
        <v>550</v>
      </c>
      <c r="H26" s="16">
        <v>550</v>
      </c>
      <c r="I26" s="16">
        <v>550</v>
      </c>
      <c r="J26" s="16">
        <v>550</v>
      </c>
      <c r="K26" s="16">
        <v>550</v>
      </c>
      <c r="L26" s="16">
        <v>550</v>
      </c>
      <c r="M26" s="16">
        <v>550</v>
      </c>
      <c r="N26" s="16">
        <v>550</v>
      </c>
      <c r="O26" s="16">
        <v>550</v>
      </c>
      <c r="P26" s="16">
        <v>550</v>
      </c>
      <c r="Q26" s="16">
        <v>580</v>
      </c>
      <c r="R26" s="16">
        <v>600</v>
      </c>
      <c r="S26" s="16">
        <v>600</v>
      </c>
      <c r="T26" s="16">
        <v>600</v>
      </c>
      <c r="U26" s="16">
        <v>600</v>
      </c>
      <c r="V26" s="16">
        <v>600</v>
      </c>
      <c r="W26" s="16">
        <v>600</v>
      </c>
      <c r="X26" s="16">
        <v>600</v>
      </c>
      <c r="Y26" s="16">
        <v>600</v>
      </c>
      <c r="Z26" s="16">
        <v>600</v>
      </c>
      <c r="AA26" s="16" t="s">
        <v>50</v>
      </c>
      <c r="AB26" s="16" t="s">
        <v>50</v>
      </c>
      <c r="AC26" s="16" t="s">
        <v>50</v>
      </c>
      <c r="AD26" s="16" t="s">
        <v>50</v>
      </c>
      <c r="AE26" s="16" t="s">
        <v>50</v>
      </c>
      <c r="AF26" s="19">
        <f>MIN(C26:AE26)</f>
        <v>550</v>
      </c>
      <c r="AG26" s="20">
        <f>MAX(C26:AE26)</f>
        <v>600</v>
      </c>
      <c r="AH26" s="20">
        <f>AVERAGE(C26:AE26)</f>
        <v>574</v>
      </c>
      <c r="AI26" s="20">
        <f>AVERAGE(Q26:AE26)</f>
        <v>598</v>
      </c>
      <c r="AJ26" s="21">
        <f>(AI26/AH26)-1</f>
        <v>4.1811846689895571e-002</v>
      </c>
      <c r="AK26" s="21">
        <f>(AI26/AF26)-1</f>
        <v>8.7272727272727169e-002</v>
      </c>
      <c r="AL26" s="21">
        <f>(AG26/AF26)-1</f>
        <v>9.0909090909090828e-002</v>
      </c>
      <c r="AM26" s="22" t="s">
        <v>100</v>
      </c>
    </row>
    <row r="27" ht="36">
      <c r="A27" s="2" t="s">
        <v>98</v>
      </c>
      <c r="B27" s="3" t="s">
        <v>101</v>
      </c>
      <c r="C27" s="16"/>
      <c r="D27" s="16"/>
      <c r="E27" s="16"/>
      <c r="F27" s="16"/>
      <c r="G27" s="16">
        <v>550</v>
      </c>
      <c r="H27" s="16">
        <v>550</v>
      </c>
      <c r="I27" s="16">
        <v>550</v>
      </c>
      <c r="J27" s="16">
        <v>550</v>
      </c>
      <c r="K27" s="16">
        <v>550</v>
      </c>
      <c r="L27" s="16">
        <v>550</v>
      </c>
      <c r="M27" s="16">
        <v>550</v>
      </c>
      <c r="N27" s="16">
        <v>550</v>
      </c>
      <c r="O27" s="16">
        <v>550</v>
      </c>
      <c r="P27" s="16">
        <v>550</v>
      </c>
      <c r="Q27" s="16">
        <v>580</v>
      </c>
      <c r="R27" s="16">
        <v>600</v>
      </c>
      <c r="S27" s="16">
        <v>600</v>
      </c>
      <c r="T27" s="16">
        <v>600</v>
      </c>
      <c r="U27" s="16">
        <v>600</v>
      </c>
      <c r="V27" s="16">
        <v>600</v>
      </c>
      <c r="W27" s="16">
        <v>600</v>
      </c>
      <c r="X27" s="16">
        <v>600</v>
      </c>
      <c r="Y27" s="16">
        <v>600</v>
      </c>
      <c r="Z27" s="16">
        <v>600</v>
      </c>
      <c r="AA27" s="16">
        <v>800</v>
      </c>
      <c r="AB27" s="16">
        <v>800</v>
      </c>
      <c r="AC27" s="24">
        <v>599.99000000000001</v>
      </c>
      <c r="AD27" s="24">
        <v>599.99000000000001</v>
      </c>
      <c r="AE27" s="24">
        <v>599.99000000000001</v>
      </c>
      <c r="AF27" s="19">
        <f>MIN(C27:AE27)</f>
        <v>550</v>
      </c>
      <c r="AG27" s="20">
        <f>MAX(C27:AE27)</f>
        <v>800</v>
      </c>
      <c r="AH27" s="20">
        <f>AVERAGE(C27:AE27)</f>
        <v>595.19880000000001</v>
      </c>
      <c r="AI27" s="20">
        <f>AVERAGE(Q27:AE27)</f>
        <v>625.3313333333333</v>
      </c>
      <c r="AJ27" s="21">
        <f>(AI27/AH27)-1</f>
        <v>5.0625998125892302e-002</v>
      </c>
      <c r="AK27" s="21">
        <f>(AI27/AF27)-1</f>
        <v>0.13696606060606054</v>
      </c>
      <c r="AL27" s="21">
        <f>(AG27/AF27)-1</f>
        <v>0.45454545454545459</v>
      </c>
      <c r="AM27" s="29" t="s">
        <v>102</v>
      </c>
    </row>
    <row r="28" ht="18">
      <c r="A28" s="2" t="s">
        <v>103</v>
      </c>
      <c r="B28" s="3" t="s">
        <v>104</v>
      </c>
      <c r="C28" s="16"/>
      <c r="D28" s="16"/>
      <c r="E28" s="16"/>
      <c r="F28" s="16"/>
      <c r="G28" s="24">
        <v>329</v>
      </c>
      <c r="H28" s="16">
        <v>329</v>
      </c>
      <c r="I28" s="16">
        <v>329</v>
      </c>
      <c r="J28" s="16">
        <v>472</v>
      </c>
      <c r="K28" s="16">
        <v>480</v>
      </c>
      <c r="L28" s="16">
        <v>479</v>
      </c>
      <c r="M28" s="16">
        <v>479</v>
      </c>
      <c r="N28" s="16">
        <v>478</v>
      </c>
      <c r="O28" s="17">
        <v>529.95000000000005</v>
      </c>
      <c r="P28" s="17">
        <v>529.95000000000005</v>
      </c>
      <c r="Q28" s="17">
        <v>472</v>
      </c>
      <c r="R28" s="17">
        <v>529.95000000000005</v>
      </c>
      <c r="S28" s="17">
        <v>529.95000000000005</v>
      </c>
      <c r="T28" s="17">
        <v>529.95000000000005</v>
      </c>
      <c r="U28" s="17">
        <v>518</v>
      </c>
      <c r="V28" s="17">
        <v>518</v>
      </c>
      <c r="W28" s="18">
        <v>549</v>
      </c>
      <c r="X28" s="18">
        <v>549</v>
      </c>
      <c r="Y28" s="18">
        <v>549</v>
      </c>
      <c r="Z28" s="18">
        <v>549</v>
      </c>
      <c r="AA28" s="30">
        <v>969.95000000000005</v>
      </c>
      <c r="AB28" s="32">
        <v>549</v>
      </c>
      <c r="AC28" s="32">
        <v>549</v>
      </c>
      <c r="AD28" s="30">
        <v>688</v>
      </c>
      <c r="AE28" s="33">
        <v>329</v>
      </c>
      <c r="AF28" s="19">
        <f>MIN(C28:AE28)</f>
        <v>329</v>
      </c>
      <c r="AG28" s="20">
        <f>MAX(C28:AE28)</f>
        <v>969.95000000000005</v>
      </c>
      <c r="AH28" s="20">
        <f>AVERAGE(C28:AE28)</f>
        <v>512.548</v>
      </c>
      <c r="AI28" s="20">
        <f>AVERAGE(Q28:AE28)</f>
        <v>558.58666666666659</v>
      </c>
      <c r="AJ28" s="21">
        <f>(AI28/AH28)-1</f>
        <v>8.9823132012351259e-002</v>
      </c>
      <c r="AK28" s="21">
        <f>(AI28/AF28)-1</f>
        <v>0.69783181357649426</v>
      </c>
      <c r="AL28" s="21">
        <f>(AG28/AF28)-1</f>
        <v>1.9481762917933132</v>
      </c>
      <c r="AM28" s="22" t="s">
        <v>105</v>
      </c>
    </row>
    <row r="29" ht="18">
      <c r="A29" s="2" t="s">
        <v>103</v>
      </c>
      <c r="B29" s="3" t="s">
        <v>106</v>
      </c>
      <c r="C29" s="16"/>
      <c r="D29" s="16"/>
      <c r="E29" s="16"/>
      <c r="F29" s="16"/>
      <c r="G29" s="24">
        <v>371.14999999999998</v>
      </c>
      <c r="H29" s="16">
        <v>371.14999999999998</v>
      </c>
      <c r="I29" s="16">
        <v>371.14999999999998</v>
      </c>
      <c r="J29" s="16">
        <v>435.13999999999999</v>
      </c>
      <c r="K29" s="16">
        <v>436.93000000000001</v>
      </c>
      <c r="L29" s="16">
        <v>434.66000000000003</v>
      </c>
      <c r="M29" s="16">
        <v>436.93000000000001</v>
      </c>
      <c r="N29" s="16">
        <v>435.14999999999998</v>
      </c>
      <c r="O29" s="17">
        <v>463.79000000000002</v>
      </c>
      <c r="P29" s="17">
        <v>462.67000000000002</v>
      </c>
      <c r="Q29" s="17">
        <v>473</v>
      </c>
      <c r="R29" s="17">
        <v>504.73000000000002</v>
      </c>
      <c r="S29" s="18">
        <v>513.71000000000004</v>
      </c>
      <c r="T29" s="17">
        <v>476.07999999999998</v>
      </c>
      <c r="U29" s="17">
        <v>475.56</v>
      </c>
      <c r="V29" s="17">
        <v>435.14999999999998</v>
      </c>
      <c r="W29" s="17">
        <v>483.99000000000001</v>
      </c>
      <c r="X29" s="17">
        <v>435.14999999999998</v>
      </c>
      <c r="Y29" s="17">
        <v>472.97000000000003</v>
      </c>
      <c r="Z29" s="17">
        <v>435.14999999999998</v>
      </c>
      <c r="AA29" s="17">
        <v>435.14999999999998</v>
      </c>
      <c r="AB29" s="17">
        <v>435.14999999999998</v>
      </c>
      <c r="AC29" s="30">
        <v>648</v>
      </c>
      <c r="AD29" s="30">
        <v>673.37</v>
      </c>
      <c r="AE29" s="30">
        <v>765.98000000000002</v>
      </c>
      <c r="AF29" s="19">
        <f>MIN(C29:AE29)</f>
        <v>371.14999999999998</v>
      </c>
      <c r="AG29" s="20">
        <f>MAX(C29:AE29)</f>
        <v>765.98000000000002</v>
      </c>
      <c r="AH29" s="20">
        <f>AVERAGE(C29:AE29)</f>
        <v>475.2743999999999</v>
      </c>
      <c r="AI29" s="20">
        <f>AVERAGE(Q29:AE29)</f>
        <v>510.87599999999998</v>
      </c>
      <c r="AJ29" s="21">
        <f>(AI29/AH29)-1</f>
        <v>7.4907463982911926e-002</v>
      </c>
      <c r="AK29" s="21">
        <f>(AI29/AF29)-1</f>
        <v>0.37646773541694745</v>
      </c>
      <c r="AL29" s="21">
        <f>(AG29/AF29)-1</f>
        <v>1.0638016974269164</v>
      </c>
      <c r="AM29" s="22" t="s">
        <v>107</v>
      </c>
    </row>
    <row r="30" ht="36">
      <c r="A30" s="25" t="s">
        <v>108</v>
      </c>
      <c r="B30" s="26" t="s">
        <v>109</v>
      </c>
      <c r="C30" s="28"/>
      <c r="D30" s="28"/>
      <c r="E30" s="28">
        <v>433.49000000000001</v>
      </c>
      <c r="F30" s="24">
        <v>396</v>
      </c>
      <c r="G30" s="28">
        <v>541.24000000000001</v>
      </c>
      <c r="H30" s="28">
        <v>531.65999999999997</v>
      </c>
      <c r="I30" s="28">
        <v>524.17999999999995</v>
      </c>
      <c r="J30" s="28">
        <v>519.91999999999996</v>
      </c>
      <c r="K30" s="28">
        <v>519.74000000000001</v>
      </c>
      <c r="L30" s="28">
        <v>429.80000000000001</v>
      </c>
      <c r="M30" s="28">
        <v>534.13</v>
      </c>
      <c r="N30" s="28">
        <v>525.30999999999995</v>
      </c>
      <c r="O30" s="28">
        <v>524.61000000000001</v>
      </c>
      <c r="P30" s="16">
        <v>568.66999999999996</v>
      </c>
      <c r="Q30" s="16">
        <v>559.30999999999995</v>
      </c>
      <c r="R30" s="16">
        <v>557.15999999999997</v>
      </c>
      <c r="S30" s="16">
        <v>557.15999999999997</v>
      </c>
      <c r="T30" s="16">
        <v>559.45000000000005</v>
      </c>
      <c r="U30" s="16">
        <v>492.13999999999999</v>
      </c>
      <c r="V30" s="30">
        <v>609.25</v>
      </c>
      <c r="W30" s="32">
        <v>587.11000000000001</v>
      </c>
      <c r="X30" s="32">
        <v>587.11000000000001</v>
      </c>
      <c r="Y30" s="30">
        <v>619.59000000000003</v>
      </c>
      <c r="Z30" s="30">
        <v>619.58000000000004</v>
      </c>
      <c r="AA30" s="30">
        <v>619.58000000000004</v>
      </c>
      <c r="AB30" s="30">
        <v>619.59000000000003</v>
      </c>
      <c r="AC30" s="30">
        <v>619.59000000000003</v>
      </c>
      <c r="AD30" s="30">
        <v>619.59000000000003</v>
      </c>
      <c r="AE30" s="30">
        <v>684.23000000000002</v>
      </c>
      <c r="AF30" s="19">
        <f>MIN(C30:AE30)</f>
        <v>396</v>
      </c>
      <c r="AG30" s="20">
        <f>MAX(C30:AE30)</f>
        <v>684.23000000000002</v>
      </c>
      <c r="AH30" s="20">
        <f>AVERAGE(C30:AE30)</f>
        <v>554.04407407407405</v>
      </c>
      <c r="AI30" s="20">
        <f>AVERAGE(Q30:AE30)</f>
        <v>594.02933333333328</v>
      </c>
      <c r="AJ30" s="21">
        <f>(AI30/AH30)-1</f>
        <v>7.2169816681250776e-002</v>
      </c>
      <c r="AK30" s="21">
        <f>(AI30/AF30)-1</f>
        <v>0.50007407407407389</v>
      </c>
      <c r="AL30" s="21">
        <f>(AG30/AF30)-1</f>
        <v>0.72785353535353536</v>
      </c>
      <c r="AM30" s="22" t="s">
        <v>110</v>
      </c>
    </row>
    <row r="31" ht="18">
      <c r="A31" s="2" t="s">
        <v>108</v>
      </c>
      <c r="B31" s="3" t="s">
        <v>111</v>
      </c>
      <c r="C31" s="16"/>
      <c r="D31" s="24">
        <v>381.82999999999998</v>
      </c>
      <c r="E31" s="16"/>
      <c r="F31" s="16"/>
      <c r="G31" s="16">
        <v>931.41999999999996</v>
      </c>
      <c r="H31" s="16">
        <v>902.87</v>
      </c>
      <c r="I31" s="16">
        <v>902.87</v>
      </c>
      <c r="J31" s="17">
        <v>990.46000000000004</v>
      </c>
      <c r="K31" s="17">
        <v>984.66999999999996</v>
      </c>
      <c r="L31" s="17">
        <v>1020.16</v>
      </c>
      <c r="M31" s="17">
        <v>1153.71</v>
      </c>
      <c r="N31" s="17">
        <v>988.74000000000001</v>
      </c>
      <c r="O31" s="18">
        <v>1543.1300000000001</v>
      </c>
      <c r="P31" s="18">
        <v>1552.5699999999999</v>
      </c>
      <c r="Q31" s="18">
        <v>1542.1700000000001</v>
      </c>
      <c r="R31" s="18">
        <v>1398</v>
      </c>
      <c r="S31" s="18">
        <v>1534.8399999999999</v>
      </c>
      <c r="T31" s="33">
        <v>370</v>
      </c>
      <c r="U31" s="30">
        <v>1655.4000000000001</v>
      </c>
      <c r="V31" s="34">
        <v>700</v>
      </c>
      <c r="W31" s="30">
        <v>1678.0799999999999</v>
      </c>
      <c r="X31" s="30">
        <v>1565.48</v>
      </c>
      <c r="Y31" s="30">
        <v>1592.45</v>
      </c>
      <c r="Z31" s="30">
        <v>1561.8099999999999</v>
      </c>
      <c r="AA31" s="30">
        <v>1445.73</v>
      </c>
      <c r="AB31" s="30">
        <v>1422.1300000000001</v>
      </c>
      <c r="AC31" s="30">
        <v>1445.73</v>
      </c>
      <c r="AD31" s="30">
        <v>1500</v>
      </c>
      <c r="AE31" s="30">
        <v>1932.8299999999999</v>
      </c>
      <c r="AF31" s="19">
        <f>MIN(C31:AE31)</f>
        <v>370</v>
      </c>
      <c r="AG31" s="20">
        <f>MAX(C31:AE31)</f>
        <v>1932.8299999999999</v>
      </c>
      <c r="AH31" s="20">
        <f>AVERAGE(C31:AE31)</f>
        <v>1257.5800000000002</v>
      </c>
      <c r="AI31" s="20">
        <f>AVERAGE(Q31:AE31)</f>
        <v>1422.9766666666667</v>
      </c>
      <c r="AJ31" s="21">
        <f>(AI31/AH31)-1</f>
        <v>0.13151979728261143</v>
      </c>
      <c r="AK31" s="21">
        <f>(AI31/AF31)-1</f>
        <v>2.8458828828828828</v>
      </c>
      <c r="AL31" s="21">
        <f>(AG31/AF31)-1</f>
        <v>4.2238648648648649</v>
      </c>
      <c r="AM31" s="22" t="s">
        <v>112</v>
      </c>
    </row>
    <row r="32" ht="18">
      <c r="A32" s="2" t="s">
        <v>108</v>
      </c>
      <c r="B32" s="3" t="s">
        <v>113</v>
      </c>
      <c r="C32" s="16"/>
      <c r="D32" s="16"/>
      <c r="E32" s="16"/>
      <c r="F32" s="16"/>
      <c r="G32" s="16"/>
      <c r="H32" s="16"/>
      <c r="I32" s="16"/>
      <c r="J32" s="16"/>
      <c r="K32" s="16">
        <v>109.98999999999999</v>
      </c>
      <c r="L32" s="16">
        <v>109.98999999999999</v>
      </c>
      <c r="M32" s="17">
        <v>165.72999999999999</v>
      </c>
      <c r="N32" s="17">
        <v>124.98999999999999</v>
      </c>
      <c r="O32" s="17">
        <v>134.99000000000001</v>
      </c>
      <c r="P32" s="17">
        <v>139.99000000000001</v>
      </c>
      <c r="Q32" s="17">
        <v>149.99000000000001</v>
      </c>
      <c r="R32" s="17">
        <v>149.99000000000001</v>
      </c>
      <c r="S32" s="17">
        <v>149.99000000000001</v>
      </c>
      <c r="T32" s="18">
        <v>159.99000000000001</v>
      </c>
      <c r="U32" s="18">
        <v>159.99000000000001</v>
      </c>
      <c r="V32" s="18">
        <v>164.99000000000001</v>
      </c>
      <c r="W32" s="18">
        <v>164.99000000000001</v>
      </c>
      <c r="X32" s="18">
        <v>164.99000000000001</v>
      </c>
      <c r="Y32" s="18">
        <v>166.99000000000001</v>
      </c>
      <c r="Z32" s="18">
        <v>166.99000000000001</v>
      </c>
      <c r="AA32" s="18">
        <v>169.99000000000001</v>
      </c>
      <c r="AB32" s="18">
        <v>169.99000000000001</v>
      </c>
      <c r="AC32" s="18">
        <v>169.97</v>
      </c>
      <c r="AD32" s="18">
        <v>169</v>
      </c>
      <c r="AE32" s="18">
        <v>169</v>
      </c>
      <c r="AF32" s="19">
        <f>MIN(C32:AE32)</f>
        <v>109.98999999999999</v>
      </c>
      <c r="AG32" s="20">
        <f>MAX(C32:AE32)</f>
        <v>169.99000000000001</v>
      </c>
      <c r="AH32" s="20">
        <f>AVERAGE(C32:AE32)</f>
        <v>153.92999999999998</v>
      </c>
      <c r="AI32" s="20">
        <f>AVERAGE(Q32:AE32)</f>
        <v>163.12333333333333</v>
      </c>
      <c r="AJ32" s="21">
        <f>(AI32/AH32)-1</f>
        <v>5.9724117022889267e-002</v>
      </c>
      <c r="AK32" s="21">
        <f>(AI32/AF32)-1</f>
        <v>0.48307421886838209</v>
      </c>
      <c r="AL32" s="21">
        <f>(AG32/AF32)-1</f>
        <v>0.54550413673970377</v>
      </c>
      <c r="AM32" s="22" t="s">
        <v>114</v>
      </c>
    </row>
    <row r="33" ht="18">
      <c r="A33" s="25" t="s">
        <v>108</v>
      </c>
      <c r="B33" s="26" t="s">
        <v>115</v>
      </c>
      <c r="C33" s="28"/>
      <c r="D33" s="28"/>
      <c r="E33" s="28"/>
      <c r="F33" s="28"/>
      <c r="G33" s="28"/>
      <c r="H33" s="28"/>
      <c r="I33" s="28"/>
      <c r="J33" s="28"/>
      <c r="K33" s="28">
        <v>69</v>
      </c>
      <c r="L33" s="28">
        <v>68</v>
      </c>
      <c r="M33" s="28">
        <v>80.060000000000002</v>
      </c>
      <c r="N33" s="28">
        <v>74.560000000000002</v>
      </c>
      <c r="O33" s="28">
        <v>76.189999999999998</v>
      </c>
      <c r="P33" s="16">
        <v>74.989999999999995</v>
      </c>
      <c r="Q33" s="16">
        <v>77.319999999999993</v>
      </c>
      <c r="R33" s="16">
        <v>83</v>
      </c>
      <c r="S33" s="16">
        <v>83</v>
      </c>
      <c r="T33" s="16">
        <v>83</v>
      </c>
      <c r="U33" s="16">
        <v>81</v>
      </c>
      <c r="V33" s="17">
        <v>85.700000000000003</v>
      </c>
      <c r="W33" s="17">
        <v>82</v>
      </c>
      <c r="X33" s="17">
        <v>82.890000000000001</v>
      </c>
      <c r="Y33" s="17">
        <v>81.480000000000004</v>
      </c>
      <c r="Z33" s="17">
        <v>81.480000000000004</v>
      </c>
      <c r="AA33" s="17">
        <v>76.340000000000003</v>
      </c>
      <c r="AB33" s="17">
        <v>81.900000000000006</v>
      </c>
      <c r="AC33" s="17">
        <v>80.019999999999996</v>
      </c>
      <c r="AD33" s="17">
        <v>80.019999999999996</v>
      </c>
      <c r="AE33" s="17">
        <v>80.019999999999996</v>
      </c>
      <c r="AF33" s="19">
        <f>MIN(C33:AE33)</f>
        <v>68</v>
      </c>
      <c r="AG33" s="20">
        <f>MAX(C33:AE33)</f>
        <v>85.700000000000003</v>
      </c>
      <c r="AH33" s="20">
        <f>AVERAGE(C33:AE33)</f>
        <v>79.141428571428577</v>
      </c>
      <c r="AI33" s="20">
        <f>AVERAGE(Q33:AE33)</f>
        <v>81.278000000000006</v>
      </c>
      <c r="AJ33" s="21">
        <f>(AI33/AH33)-1</f>
        <v>2.6996877199949365e-002</v>
      </c>
      <c r="AK33" s="21">
        <f>(AI33/AF33)-1</f>
        <v>0.19526470588235312</v>
      </c>
      <c r="AL33" s="21">
        <f>(AG33/AF33)-1</f>
        <v>0.26029411764705879</v>
      </c>
      <c r="AM33" s="22" t="s">
        <v>116</v>
      </c>
    </row>
    <row r="34" ht="18">
      <c r="A34" s="2" t="s">
        <v>108</v>
      </c>
      <c r="B34" s="3" t="s">
        <v>117</v>
      </c>
      <c r="C34" s="16"/>
      <c r="D34" s="16"/>
      <c r="E34" s="16"/>
      <c r="F34" s="16"/>
      <c r="G34" s="16"/>
      <c r="H34" s="16"/>
      <c r="I34" s="16"/>
      <c r="J34" s="16"/>
      <c r="K34" s="16">
        <v>69.989999999999995</v>
      </c>
      <c r="L34" s="16">
        <v>55</v>
      </c>
      <c r="M34" s="16">
        <v>55</v>
      </c>
      <c r="N34" s="17">
        <v>84.590000000000003</v>
      </c>
      <c r="O34" s="17">
        <v>82.590000000000003</v>
      </c>
      <c r="P34" s="17">
        <v>82.590000000000003</v>
      </c>
      <c r="Q34" s="17">
        <v>80.769999999999996</v>
      </c>
      <c r="R34" s="17">
        <v>82.590000000000003</v>
      </c>
      <c r="S34" s="30">
        <v>108</v>
      </c>
      <c r="T34" s="30">
        <v>104.5</v>
      </c>
      <c r="U34" s="30">
        <v>111</v>
      </c>
      <c r="V34" s="33">
        <v>65.530000000000001</v>
      </c>
      <c r="W34" s="32">
        <v>99.989999999999995</v>
      </c>
      <c r="X34" s="30">
        <v>107</v>
      </c>
      <c r="Y34" s="32">
        <v>99.900000000000006</v>
      </c>
      <c r="Z34" s="32">
        <v>99.900000000000006</v>
      </c>
      <c r="AA34" s="30">
        <v>104.98999999999999</v>
      </c>
      <c r="AB34" s="32">
        <v>97</v>
      </c>
      <c r="AC34" s="32">
        <v>97</v>
      </c>
      <c r="AD34" s="32">
        <v>97</v>
      </c>
      <c r="AE34" s="32">
        <v>97</v>
      </c>
      <c r="AF34" s="19">
        <f>MIN(C34:AE34)</f>
        <v>55</v>
      </c>
      <c r="AG34" s="20">
        <f>MAX(C34:AE34)</f>
        <v>111</v>
      </c>
      <c r="AH34" s="20">
        <f>AVERAGE(C34:AE34)</f>
        <v>89.615714285714304</v>
      </c>
      <c r="AI34" s="20">
        <f>AVERAGE(Q34:AE34)</f>
        <v>96.811333333333323</v>
      </c>
      <c r="AJ34" s="21">
        <f>(AI34/AH34)-1</f>
        <v>8.0294166095444153e-002</v>
      </c>
      <c r="AK34" s="21">
        <f>(AI34/AF34)-1</f>
        <v>0.76020606060606033</v>
      </c>
      <c r="AL34" s="21">
        <f>(AG34/AF34)-1</f>
        <v>1.0181818181818181</v>
      </c>
      <c r="AM34" s="22" t="s">
        <v>118</v>
      </c>
    </row>
    <row r="35" ht="18">
      <c r="A35" s="2" t="s">
        <v>108</v>
      </c>
      <c r="B35" s="3" t="s">
        <v>119</v>
      </c>
      <c r="C35" s="16"/>
      <c r="D35" s="16"/>
      <c r="E35" s="16"/>
      <c r="F35" s="16"/>
      <c r="G35" s="16"/>
      <c r="H35" s="16"/>
      <c r="I35" s="16"/>
      <c r="J35" s="16"/>
      <c r="K35" s="16"/>
      <c r="L35" s="16">
        <v>68.859999999999999</v>
      </c>
      <c r="M35" s="16">
        <v>47.359999999999999</v>
      </c>
      <c r="N35" s="16">
        <v>47.359999999999999</v>
      </c>
      <c r="O35" s="16">
        <v>55</v>
      </c>
      <c r="P35" s="16">
        <v>53.869999999999997</v>
      </c>
      <c r="Q35" s="16">
        <v>53.869999999999997</v>
      </c>
      <c r="R35" s="17">
        <v>83.909999999999997</v>
      </c>
      <c r="S35" s="17">
        <v>90.579999999999998</v>
      </c>
      <c r="T35" s="18">
        <v>100.68000000000001</v>
      </c>
      <c r="U35" s="18">
        <v>92.530000000000001</v>
      </c>
      <c r="V35" s="17">
        <v>89.090000000000003</v>
      </c>
      <c r="W35" s="17">
        <v>86.700000000000003</v>
      </c>
      <c r="X35" s="17">
        <v>86.700000000000003</v>
      </c>
      <c r="Y35" s="17">
        <v>89.700000000000003</v>
      </c>
      <c r="Z35" s="18">
        <v>91</v>
      </c>
      <c r="AA35" s="18">
        <v>91</v>
      </c>
      <c r="AB35" s="16">
        <v>61.579999999999998</v>
      </c>
      <c r="AC35" s="16">
        <v>89.700000000000003</v>
      </c>
      <c r="AD35" s="16">
        <v>89.700000000000003</v>
      </c>
      <c r="AE35" s="16">
        <v>86.439999999999998</v>
      </c>
      <c r="AF35" s="19">
        <f>MIN(C35:AE35)</f>
        <v>47.359999999999999</v>
      </c>
      <c r="AG35" s="20">
        <f>MAX(C35:AE35)</f>
        <v>100.68000000000001</v>
      </c>
      <c r="AH35" s="20">
        <f>AVERAGE(C35:AE35)</f>
        <v>77.781500000000008</v>
      </c>
      <c r="AI35" s="20">
        <f>AVERAGE(Q35:AE35)</f>
        <v>85.545333333333346</v>
      </c>
      <c r="AJ35" s="21">
        <f>(AI35/AH35)-1</f>
        <v>9.9815937380139719e-002</v>
      </c>
      <c r="AK35" s="21">
        <f>(AI35/AF35)-1</f>
        <v>0.80627815315315354</v>
      </c>
      <c r="AL35" s="21">
        <f>(AG35/AF35)-1</f>
        <v>1.1258445945945947</v>
      </c>
      <c r="AM35" s="22" t="s">
        <v>120</v>
      </c>
    </row>
    <row r="36" ht="18">
      <c r="A36" s="25" t="s">
        <v>108</v>
      </c>
      <c r="B36" s="26" t="s">
        <v>121</v>
      </c>
      <c r="C36" s="28"/>
      <c r="D36" s="28"/>
      <c r="E36" s="28"/>
      <c r="F36" s="28"/>
      <c r="G36" s="28"/>
      <c r="H36" s="28"/>
      <c r="I36" s="28"/>
      <c r="J36" s="28"/>
      <c r="K36" s="28"/>
      <c r="L36" s="28">
        <v>92.5</v>
      </c>
      <c r="M36" s="28">
        <v>110.91</v>
      </c>
      <c r="N36" s="28">
        <v>107.04000000000001</v>
      </c>
      <c r="O36" s="28">
        <v>112</v>
      </c>
      <c r="P36" s="16">
        <v>107.04000000000001</v>
      </c>
      <c r="Q36" s="16">
        <v>111.43000000000001</v>
      </c>
      <c r="R36" s="16">
        <v>111.43000000000001</v>
      </c>
      <c r="S36" s="17">
        <v>132.33000000000001</v>
      </c>
      <c r="T36" s="16" t="s">
        <v>50</v>
      </c>
      <c r="U36" s="17">
        <v>156</v>
      </c>
      <c r="V36" s="17">
        <v>156</v>
      </c>
      <c r="W36" s="17">
        <v>156</v>
      </c>
      <c r="X36" s="17">
        <v>156</v>
      </c>
      <c r="Y36" s="17">
        <v>151.22</v>
      </c>
      <c r="Z36" s="17">
        <v>151.22</v>
      </c>
      <c r="AA36" s="17">
        <v>149.30000000000001</v>
      </c>
      <c r="AB36" s="17">
        <v>159.99000000000001</v>
      </c>
      <c r="AC36" s="17">
        <v>154.27000000000001</v>
      </c>
      <c r="AD36" s="16">
        <v>121.06</v>
      </c>
      <c r="AE36" s="16">
        <v>138.16</v>
      </c>
      <c r="AF36" s="19">
        <f>MIN(C36:AE36)</f>
        <v>92.5</v>
      </c>
      <c r="AG36" s="20">
        <f>MAX(C36:AE36)</f>
        <v>159.99000000000001</v>
      </c>
      <c r="AH36" s="20">
        <f>AVERAGE(C36:AE36)</f>
        <v>133.36315789473684</v>
      </c>
      <c r="AI36" s="20">
        <f>AVERAGE(Q36:AE36)</f>
        <v>143.17214285714286</v>
      </c>
      <c r="AJ36" s="21">
        <f>(AI36/AH36)-1</f>
        <v>7.3550935035208376e-002</v>
      </c>
      <c r="AK36" s="21">
        <f>(AI36/AF36)-1</f>
        <v>0.54780694980694977</v>
      </c>
      <c r="AL36" s="21">
        <f>(AG36/AF36)-1</f>
        <v>0.72962162162162181</v>
      </c>
      <c r="AM36" s="22" t="s">
        <v>122</v>
      </c>
    </row>
    <row r="37" ht="18">
      <c r="A37" s="2" t="s">
        <v>108</v>
      </c>
      <c r="B37" s="3" t="s">
        <v>123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>
        <v>148.88</v>
      </c>
      <c r="N37" s="16">
        <v>165.36000000000001</v>
      </c>
      <c r="O37" s="18">
        <v>241.99000000000001</v>
      </c>
      <c r="P37" s="17">
        <v>224.84999999999999</v>
      </c>
      <c r="Q37" s="17">
        <v>224.84999999999999</v>
      </c>
      <c r="R37" s="18">
        <v>257.87</v>
      </c>
      <c r="S37" s="17">
        <v>239.99000000000001</v>
      </c>
      <c r="T37" s="16">
        <v>210.08000000000001</v>
      </c>
      <c r="U37" s="17">
        <v>238.24000000000001</v>
      </c>
      <c r="V37" s="17">
        <v>238.24000000000001</v>
      </c>
      <c r="W37" s="17">
        <v>235.97999999999999</v>
      </c>
      <c r="X37" s="17">
        <v>238.24000000000001</v>
      </c>
      <c r="Y37" s="17">
        <v>221.25</v>
      </c>
      <c r="Z37" s="16">
        <v>209.99000000000001</v>
      </c>
      <c r="AA37" s="16">
        <v>199.99000000000001</v>
      </c>
      <c r="AB37" s="16">
        <v>190.90000000000001</v>
      </c>
      <c r="AC37" s="16">
        <v>199.5</v>
      </c>
      <c r="AD37" s="16">
        <v>199.5</v>
      </c>
      <c r="AE37" s="17">
        <v>219.19</v>
      </c>
      <c r="AF37" s="19">
        <f>MIN(C37:AE37)</f>
        <v>148.88</v>
      </c>
      <c r="AG37" s="20">
        <f>MAX(C37:AE37)</f>
        <v>257.87</v>
      </c>
      <c r="AH37" s="20">
        <f>AVERAGE(C37:AE37)</f>
        <v>216.04684210526318</v>
      </c>
      <c r="AI37" s="20">
        <f>AVERAGE(Q37:AE37)</f>
        <v>221.58733333333336</v>
      </c>
      <c r="AJ37" s="21">
        <f>(AI37/AH37)-1</f>
        <v>2.5644860966635763e-002</v>
      </c>
      <c r="AK37" s="21">
        <f>(AI37/AF37)-1</f>
        <v>0.48836199176070227</v>
      </c>
      <c r="AL37" s="21">
        <f>(AG37/AF37)-1</f>
        <v>0.73206609349811935</v>
      </c>
      <c r="AM37" s="22" t="s">
        <v>124</v>
      </c>
    </row>
    <row r="38" ht="18">
      <c r="A38" s="2" t="s">
        <v>108</v>
      </c>
      <c r="B38" s="3" t="s">
        <v>125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>
        <v>155</v>
      </c>
      <c r="P38" s="16">
        <v>153.44</v>
      </c>
      <c r="Q38" s="16">
        <v>144.94999999999999</v>
      </c>
      <c r="R38" s="16">
        <v>152.5</v>
      </c>
      <c r="S38" s="16">
        <v>148.87</v>
      </c>
      <c r="T38" s="16">
        <v>147.44999999999999</v>
      </c>
      <c r="U38" s="17">
        <v>162.63999999999999</v>
      </c>
      <c r="V38" s="17">
        <v>164.93000000000001</v>
      </c>
      <c r="W38" s="17">
        <v>161.65000000000001</v>
      </c>
      <c r="X38" s="17">
        <v>164.38999999999999</v>
      </c>
      <c r="Y38" s="17">
        <v>168.28999999999999</v>
      </c>
      <c r="Z38" s="17">
        <v>149.88999999999999</v>
      </c>
      <c r="AA38" s="17">
        <v>148.5</v>
      </c>
      <c r="AB38" s="17">
        <v>148.69</v>
      </c>
      <c r="AC38" s="17">
        <v>149</v>
      </c>
      <c r="AD38" s="17">
        <v>148.28999999999999</v>
      </c>
      <c r="AE38" s="17">
        <v>149.99000000000001</v>
      </c>
      <c r="AF38" s="19">
        <f>MIN(C38:AE38)</f>
        <v>144.94999999999999</v>
      </c>
      <c r="AG38" s="20">
        <f>MAX(C38:AE38)</f>
        <v>168.28999999999999</v>
      </c>
      <c r="AH38" s="20">
        <f>AVERAGE(C38:AE38)</f>
        <v>154.02764705882353</v>
      </c>
      <c r="AI38" s="20">
        <f>AVERAGE(Q38:AE38)</f>
        <v>154.00199999999998</v>
      </c>
      <c r="AJ38" s="21">
        <f>(AI38/AH38)-1</f>
        <v>-1.665094501752673e-004</v>
      </c>
      <c r="AK38" s="21">
        <f>(AI38/AF38)-1</f>
        <v>6.2449120386339985e-002</v>
      </c>
      <c r="AL38" s="21">
        <f>(AG38/AF38)-1</f>
        <v>0.16102104173853049</v>
      </c>
      <c r="AM38" s="22" t="s">
        <v>126</v>
      </c>
    </row>
    <row r="39" ht="18">
      <c r="A39" s="25" t="s">
        <v>108</v>
      </c>
      <c r="B39" s="26" t="s">
        <v>127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18">
        <v>199.93000000000001</v>
      </c>
      <c r="P39" s="16">
        <v>161.90000000000001</v>
      </c>
      <c r="Q39" s="16">
        <v>175.99000000000001</v>
      </c>
      <c r="R39" s="24">
        <v>144</v>
      </c>
      <c r="S39" s="18">
        <v>199.40000000000001</v>
      </c>
      <c r="T39" s="18">
        <v>189.99000000000001</v>
      </c>
      <c r="U39" s="18">
        <v>199.94999999999999</v>
      </c>
      <c r="V39" s="17">
        <v>169</v>
      </c>
      <c r="W39" s="18">
        <v>181.33000000000001</v>
      </c>
      <c r="X39" s="17">
        <v>169</v>
      </c>
      <c r="Y39" s="17">
        <v>159</v>
      </c>
      <c r="Z39" s="18">
        <v>195.22999999999999</v>
      </c>
      <c r="AA39" s="18">
        <v>189.99000000000001</v>
      </c>
      <c r="AB39" s="18">
        <v>191.28999999999999</v>
      </c>
      <c r="AC39" s="18">
        <v>179.09</v>
      </c>
      <c r="AD39" s="18">
        <v>189.99000000000001</v>
      </c>
      <c r="AE39" s="17">
        <v>169</v>
      </c>
      <c r="AF39" s="19">
        <f>MIN(C39:AE39)</f>
        <v>144</v>
      </c>
      <c r="AG39" s="20">
        <f>MAX(C39:AE39)</f>
        <v>199.94999999999999</v>
      </c>
      <c r="AH39" s="20">
        <f>AVERAGE(C39:AE39)</f>
        <v>180.24000000000001</v>
      </c>
      <c r="AI39" s="20">
        <f>AVERAGE(Q39:AE39)</f>
        <v>180.15000000000001</v>
      </c>
      <c r="AJ39" s="21">
        <f>(AI39/AH39)-1</f>
        <v>-4.9933422103864977e-004</v>
      </c>
      <c r="AK39" s="21">
        <f>(AI39/AF39)-1</f>
        <v>0.25104166666666661</v>
      </c>
      <c r="AL39" s="21">
        <f>(AG39/AF39)-1</f>
        <v>0.38854166666666656</v>
      </c>
      <c r="AM39" s="22" t="s">
        <v>128</v>
      </c>
    </row>
    <row r="40" ht="18">
      <c r="A40" s="2" t="s">
        <v>129</v>
      </c>
      <c r="B40" s="3" t="s">
        <v>130</v>
      </c>
      <c r="C40" s="16"/>
      <c r="D40" s="16"/>
      <c r="E40" s="16"/>
      <c r="F40" s="16"/>
      <c r="G40" s="24">
        <v>30731.380000000001</v>
      </c>
      <c r="H40" s="17">
        <v>32127.290000000001</v>
      </c>
      <c r="I40" s="17">
        <v>32790.889999999999</v>
      </c>
      <c r="J40" s="17">
        <v>31941.080000000002</v>
      </c>
      <c r="K40" s="17">
        <v>31941.080000000002</v>
      </c>
      <c r="L40" s="17">
        <v>31941.080000000002</v>
      </c>
      <c r="M40" s="16" t="s">
        <v>82</v>
      </c>
      <c r="N40" s="17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9">
        <f>MIN(C40:AE40)</f>
        <v>30731.380000000001</v>
      </c>
      <c r="AG40" s="20">
        <f>MAX(C40:AE40)</f>
        <v>32790.889999999999</v>
      </c>
      <c r="AH40" s="20">
        <f>AVERAGE(C40:AE40)</f>
        <v>31912.133333333331</v>
      </c>
      <c r="AI40" s="20" t="e">
        <f>AVERAGE(Q40:AE40)</f>
        <v>#NUM!</v>
      </c>
      <c r="AJ40" s="21" t="e">
        <f>(AI40/AH40)-1</f>
        <v>#NUM!</v>
      </c>
      <c r="AK40" s="21" t="e">
        <f>(AI40/AF40)-1</f>
        <v>#NUM!</v>
      </c>
      <c r="AL40" s="21">
        <f>(AG40/AF40)-1</f>
        <v>6.7016515366377982e-002</v>
      </c>
      <c r="AM40" s="22" t="s">
        <v>131</v>
      </c>
    </row>
    <row r="41" ht="18">
      <c r="A41" s="2" t="s">
        <v>132</v>
      </c>
      <c r="B41" s="3" t="s">
        <v>133</v>
      </c>
      <c r="C41" s="16"/>
      <c r="D41" s="16"/>
      <c r="E41" s="16"/>
      <c r="F41" s="16"/>
      <c r="G41" s="24"/>
      <c r="H41" s="17"/>
      <c r="I41" s="17"/>
      <c r="J41" s="17"/>
      <c r="K41" s="17"/>
      <c r="L41" s="17"/>
      <c r="M41" s="17"/>
      <c r="N41" s="17">
        <v>642.82000000000005</v>
      </c>
      <c r="O41" s="17">
        <v>642.82000000000005</v>
      </c>
      <c r="P41" s="18">
        <v>721.67999999999995</v>
      </c>
      <c r="Q41" s="18">
        <v>721.67999999999995</v>
      </c>
      <c r="R41" s="18">
        <v>721.67999999999995</v>
      </c>
      <c r="S41" s="18">
        <v>721.67999999999995</v>
      </c>
      <c r="T41" s="16" t="s">
        <v>50</v>
      </c>
      <c r="U41" s="18">
        <v>1164</v>
      </c>
      <c r="V41" s="18">
        <v>1150.8</v>
      </c>
      <c r="W41" s="18">
        <v>1150.8</v>
      </c>
      <c r="X41" s="18">
        <v>1150.8</v>
      </c>
      <c r="Y41" s="18">
        <v>1150.8</v>
      </c>
      <c r="Z41" s="30">
        <v>1360.8</v>
      </c>
      <c r="AA41" s="30">
        <v>1360.8</v>
      </c>
      <c r="AB41" s="35" t="s">
        <v>50</v>
      </c>
      <c r="AC41" s="30">
        <v>1360.8</v>
      </c>
      <c r="AD41" s="30">
        <v>1360.8</v>
      </c>
      <c r="AE41" s="30">
        <v>1360.8</v>
      </c>
      <c r="AF41" s="19">
        <f>MIN(C41:AE41)</f>
        <v>642.82000000000005</v>
      </c>
      <c r="AG41" s="20">
        <f>MAX(C41:AE41)</f>
        <v>1360.8</v>
      </c>
      <c r="AH41" s="20">
        <f>AVERAGE(C41:AE41)</f>
        <v>1046.4724999999999</v>
      </c>
      <c r="AI41" s="20">
        <f>AVERAGE(Q41:AE41)</f>
        <v>1133.5569230769229</v>
      </c>
      <c r="AJ41" s="21">
        <f>(AI41/AH41)-1</f>
        <v>8.3217115668995589e-002</v>
      </c>
      <c r="AK41" s="21">
        <f>(AI41/AF41)-1</f>
        <v>0.76341265529529689</v>
      </c>
      <c r="AL41" s="21">
        <f>(AG41/AF41)-1</f>
        <v>1.1169223110668614</v>
      </c>
      <c r="AM41" s="22" t="s">
        <v>134</v>
      </c>
    </row>
    <row r="42" ht="18">
      <c r="A42" s="2" t="s">
        <v>132</v>
      </c>
      <c r="B42" s="3" t="s">
        <v>135</v>
      </c>
      <c r="C42" s="16"/>
      <c r="D42" s="16"/>
      <c r="E42" s="16"/>
      <c r="F42" s="16"/>
      <c r="G42" s="24"/>
      <c r="H42" s="17"/>
      <c r="I42" s="17"/>
      <c r="J42" s="17"/>
      <c r="K42" s="17"/>
      <c r="L42" s="17"/>
      <c r="M42" s="17"/>
      <c r="N42" s="17">
        <v>1151.71</v>
      </c>
      <c r="O42" s="17">
        <v>1151.71</v>
      </c>
      <c r="P42" s="18">
        <v>1279.6800000000001</v>
      </c>
      <c r="Q42" s="18">
        <v>1279.6800000000001</v>
      </c>
      <c r="R42" s="18">
        <v>1279.6800000000001</v>
      </c>
      <c r="S42" s="18">
        <v>1279.6800000000001</v>
      </c>
      <c r="T42" s="30">
        <v>2064</v>
      </c>
      <c r="U42" s="30">
        <v>2064</v>
      </c>
      <c r="V42" s="30">
        <v>2016</v>
      </c>
      <c r="W42" s="30">
        <v>2016</v>
      </c>
      <c r="X42" s="30">
        <v>2016</v>
      </c>
      <c r="Y42" s="30">
        <v>2016</v>
      </c>
      <c r="Z42" s="30">
        <v>2171.4000000000001</v>
      </c>
      <c r="AA42" s="30">
        <v>2171.4000000000001</v>
      </c>
      <c r="AB42" s="35" t="s">
        <v>50</v>
      </c>
      <c r="AC42" s="30">
        <v>2171.4000000000001</v>
      </c>
      <c r="AD42" s="30">
        <v>2171.4000000000001</v>
      </c>
      <c r="AE42" s="30">
        <v>2171.4000000000001</v>
      </c>
      <c r="AF42" s="19">
        <f>MIN(C42:AE42)</f>
        <v>1151.71</v>
      </c>
      <c r="AG42" s="20">
        <f>MAX(C42:AE42)</f>
        <v>2171.4000000000001</v>
      </c>
      <c r="AH42" s="20">
        <f>AVERAGE(C42:AE42)</f>
        <v>1792.4200000000003</v>
      </c>
      <c r="AI42" s="20">
        <f>AVERAGE(Q42:AE42)</f>
        <v>1920.5742857142864</v>
      </c>
      <c r="AJ42" s="21">
        <f>(AI42/AH42)-1</f>
        <v>7.1497911044446028e-002</v>
      </c>
      <c r="AK42" s="21">
        <f>(AI42/AF42)-1</f>
        <v>0.6675849699267058</v>
      </c>
      <c r="AL42" s="21">
        <f>(AG42/AF42)-1</f>
        <v>0.88537044915820817</v>
      </c>
      <c r="AM42" s="22" t="s">
        <v>134</v>
      </c>
    </row>
    <row r="43" ht="18">
      <c r="A43" s="2" t="s">
        <v>132</v>
      </c>
      <c r="B43" s="3" t="s">
        <v>136</v>
      </c>
      <c r="C43" s="16"/>
      <c r="D43" s="16"/>
      <c r="E43" s="16"/>
      <c r="F43" s="16"/>
      <c r="G43" s="24"/>
      <c r="H43" s="17"/>
      <c r="I43" s="17"/>
      <c r="J43" s="17"/>
      <c r="K43" s="17"/>
      <c r="L43" s="17"/>
      <c r="M43" s="17"/>
      <c r="N43" s="17">
        <v>2159.8299999999999</v>
      </c>
      <c r="O43" s="17">
        <v>2159.8299999999999</v>
      </c>
      <c r="P43" s="18">
        <v>2403.1199999999999</v>
      </c>
      <c r="Q43" s="18">
        <v>2403.1199999999999</v>
      </c>
      <c r="R43" s="18">
        <v>2403.1199999999999</v>
      </c>
      <c r="S43" s="18">
        <v>2403.1199999999999</v>
      </c>
      <c r="T43" s="30">
        <v>3876</v>
      </c>
      <c r="U43" s="35" t="s">
        <v>50</v>
      </c>
      <c r="V43" s="35" t="s">
        <v>50</v>
      </c>
      <c r="W43" s="35" t="s">
        <v>50</v>
      </c>
      <c r="X43" s="35" t="s">
        <v>50</v>
      </c>
      <c r="Y43" s="35" t="s">
        <v>50</v>
      </c>
      <c r="Z43" s="35" t="s">
        <v>50</v>
      </c>
      <c r="AA43" s="35" t="s">
        <v>50</v>
      </c>
      <c r="AB43" s="35" t="s">
        <v>50</v>
      </c>
      <c r="AC43" s="35" t="s">
        <v>50</v>
      </c>
      <c r="AD43" s="35" t="s">
        <v>50</v>
      </c>
      <c r="AE43" s="35" t="s">
        <v>50</v>
      </c>
      <c r="AF43" s="19">
        <f>MIN(C43:AE43)</f>
        <v>2159.8299999999999</v>
      </c>
      <c r="AG43" s="20">
        <f>MAX(C43:AE43)</f>
        <v>3876</v>
      </c>
      <c r="AH43" s="20">
        <f>AVERAGE(C43:AE43)</f>
        <v>2544.02</v>
      </c>
      <c r="AI43" s="20">
        <f>AVERAGE(Q43:AE43)</f>
        <v>2771.3400000000001</v>
      </c>
      <c r="AJ43" s="21">
        <f>(AI43/AH43)-1</f>
        <v>8.9354643438337877e-002</v>
      </c>
      <c r="AK43" s="21">
        <f>(AI43/AF43)-1</f>
        <v>0.28312876476389359</v>
      </c>
      <c r="AL43" s="21">
        <f>(AG43/AF43)-1</f>
        <v>0.79458568498446636</v>
      </c>
      <c r="AM43" s="22" t="s">
        <v>134</v>
      </c>
    </row>
    <row r="44" ht="18">
      <c r="A44" s="2" t="s">
        <v>137</v>
      </c>
      <c r="B44" s="3" t="s">
        <v>138</v>
      </c>
      <c r="C44" s="16"/>
      <c r="D44" s="16"/>
      <c r="E44" s="16"/>
      <c r="F44" s="16"/>
      <c r="G44" s="24"/>
      <c r="H44" s="17"/>
      <c r="I44" s="17"/>
      <c r="J44" s="17"/>
      <c r="K44" s="17"/>
      <c r="L44" s="17"/>
      <c r="M44" s="17"/>
      <c r="N44" s="17">
        <v>1310.1800000000001</v>
      </c>
      <c r="O44" s="17">
        <v>1320.5999999999999</v>
      </c>
      <c r="P44" s="18">
        <v>1320.5999999999999</v>
      </c>
      <c r="Q44" s="18">
        <v>1320.5999999999999</v>
      </c>
      <c r="R44" s="18">
        <v>1320.5999999999999</v>
      </c>
      <c r="S44" s="18">
        <v>1320.5999999999999</v>
      </c>
      <c r="T44" s="30">
        <v>2130</v>
      </c>
      <c r="U44" s="30">
        <v>2130</v>
      </c>
      <c r="V44" s="30">
        <v>2218.4400000000001</v>
      </c>
      <c r="W44" s="30">
        <v>2218.4400000000001</v>
      </c>
      <c r="X44" s="30">
        <v>2218.4400000000001</v>
      </c>
      <c r="Y44" s="30">
        <v>2218.4400000000001</v>
      </c>
      <c r="Z44" s="30">
        <v>2804.7600000000002</v>
      </c>
      <c r="AA44" s="30">
        <v>2804.7600000000002</v>
      </c>
      <c r="AB44" s="35" t="s">
        <v>50</v>
      </c>
      <c r="AC44" s="30">
        <v>2804.7600000000002</v>
      </c>
      <c r="AD44" s="30">
        <v>2804.7600000000002</v>
      </c>
      <c r="AE44" s="30">
        <v>2804.7600000000002</v>
      </c>
      <c r="AF44" s="19">
        <f>MIN(C44:AE44)</f>
        <v>1310.1800000000001</v>
      </c>
      <c r="AG44" s="20">
        <f>MAX(C44:AE44)</f>
        <v>2804.7600000000002</v>
      </c>
      <c r="AH44" s="20">
        <f>AVERAGE(C44:AE44)</f>
        <v>2062.9847058823534</v>
      </c>
      <c r="AI44" s="20">
        <f>AVERAGE(Q44:AE44)</f>
        <v>2222.8114285714291</v>
      </c>
      <c r="AJ44" s="21">
        <f>(AI44/AH44)-1</f>
        <v>7.7473537362322098e-002</v>
      </c>
      <c r="AK44" s="21">
        <f>(AI44/AF44)-1</f>
        <v>0.6965695008101398</v>
      </c>
      <c r="AL44" s="21">
        <f>(AG44/AF44)-1</f>
        <v>1.1407440199056618</v>
      </c>
      <c r="AM44" s="22" t="s">
        <v>134</v>
      </c>
    </row>
    <row r="45" ht="18">
      <c r="A45" s="2" t="s">
        <v>139</v>
      </c>
      <c r="B45" s="3" t="s">
        <v>140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8">
        <v>1896</v>
      </c>
      <c r="U45" s="18">
        <v>1896</v>
      </c>
      <c r="V45" s="18">
        <v>1592.6400000000001</v>
      </c>
      <c r="W45" s="18">
        <v>1592.6400000000001</v>
      </c>
      <c r="X45" s="18">
        <v>1592.6400000000001</v>
      </c>
      <c r="Y45" s="18">
        <v>1592.6400000000001</v>
      </c>
      <c r="Z45" s="18">
        <v>1592.6400000000001</v>
      </c>
      <c r="AA45" s="18">
        <v>1592.6400000000001</v>
      </c>
      <c r="AB45" s="18">
        <v>1592.6400000000001</v>
      </c>
      <c r="AC45" s="18">
        <v>1592.6400000000001</v>
      </c>
      <c r="AD45" s="18">
        <v>1592.6400000000001</v>
      </c>
      <c r="AE45" s="18">
        <v>1592.6400000000001</v>
      </c>
      <c r="AF45" s="19">
        <f>MIN(C45:AE45)</f>
        <v>1592.6400000000001</v>
      </c>
      <c r="AG45" s="20">
        <f>MAX(C45:AE45)</f>
        <v>1896</v>
      </c>
      <c r="AH45" s="20">
        <f>AVERAGE(C45:AE45)</f>
        <v>1643.1999999999998</v>
      </c>
      <c r="AI45" s="20">
        <f>AVERAGE(Q45:AE45)</f>
        <v>1643.1999999999998</v>
      </c>
      <c r="AJ45" s="21">
        <f>(AI45/AH45)-1</f>
        <v>0</v>
      </c>
      <c r="AK45" s="21">
        <f>(AI45/AF45)-1</f>
        <v>3.1746031746031633e-002</v>
      </c>
      <c r="AL45" s="21">
        <f>(AG45/AF45)-1</f>
        <v>0.19047619047619047</v>
      </c>
      <c r="AM45" s="22" t="s">
        <v>134</v>
      </c>
    </row>
    <row r="46" ht="18">
      <c r="A46" s="2" t="s">
        <v>139</v>
      </c>
      <c r="B46" s="3" t="s">
        <v>141</v>
      </c>
      <c r="C46" s="16"/>
      <c r="D46" s="16"/>
      <c r="E46" s="16"/>
      <c r="F46" s="16"/>
      <c r="G46" s="24"/>
      <c r="H46" s="17"/>
      <c r="I46" s="17"/>
      <c r="J46" s="17"/>
      <c r="K46" s="17"/>
      <c r="L46" s="17"/>
      <c r="M46" s="17"/>
      <c r="N46" s="17">
        <v>1480.5599999999999</v>
      </c>
      <c r="O46" s="17">
        <v>1480.5599999999999</v>
      </c>
      <c r="P46" s="18">
        <v>1628.6199999999999</v>
      </c>
      <c r="Q46" s="18">
        <v>1628.6199999999999</v>
      </c>
      <c r="R46" s="18">
        <v>1628.6199999999999</v>
      </c>
      <c r="S46" s="18">
        <v>1628.6199999999999</v>
      </c>
      <c r="T46" s="16" t="s">
        <v>50</v>
      </c>
      <c r="U46" s="16" t="s">
        <v>50</v>
      </c>
      <c r="V46" s="16" t="s">
        <v>50</v>
      </c>
      <c r="W46" s="18">
        <v>1985.76</v>
      </c>
      <c r="X46" s="18">
        <v>1985.76</v>
      </c>
      <c r="Y46" s="18">
        <v>1985.76</v>
      </c>
      <c r="Z46" s="16" t="s">
        <v>50</v>
      </c>
      <c r="AA46" s="18">
        <v>1985.76</v>
      </c>
      <c r="AB46" s="18">
        <v>1985.76</v>
      </c>
      <c r="AC46" s="16" t="s">
        <v>50</v>
      </c>
      <c r="AD46" s="16" t="s">
        <v>50</v>
      </c>
      <c r="AE46" s="16" t="s">
        <v>50</v>
      </c>
      <c r="AF46" s="19">
        <f>MIN(C46:AE46)</f>
        <v>1480.5599999999999</v>
      </c>
      <c r="AG46" s="20">
        <f>MAX(C46:AE46)</f>
        <v>1985.76</v>
      </c>
      <c r="AH46" s="20">
        <f>AVERAGE(C46:AE46)</f>
        <v>1764.0363636363634</v>
      </c>
      <c r="AI46" s="20">
        <f>AVERAGE(Q46:AE46)</f>
        <v>1851.8325</v>
      </c>
      <c r="AJ46" s="21">
        <f>(AI46/AH46)-1</f>
        <v>4.9770026385768329e-002</v>
      </c>
      <c r="AK46" s="21">
        <f>(AI46/AF46)-1</f>
        <v>0.25076491327605765</v>
      </c>
      <c r="AL46" s="21">
        <f>(AG46/AF46)-1</f>
        <v>0.34122224023342529</v>
      </c>
      <c r="AM46" s="22" t="s">
        <v>134</v>
      </c>
    </row>
    <row r="47" ht="18">
      <c r="A47" s="2" t="s">
        <v>142</v>
      </c>
      <c r="B47" s="3" t="s">
        <v>143</v>
      </c>
      <c r="C47" s="16"/>
      <c r="D47" s="16">
        <v>339.45999999999998</v>
      </c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9">
        <f>MIN(C47:AE47)</f>
        <v>339.45999999999998</v>
      </c>
      <c r="AG47" s="20">
        <f>MAX(C47:AE47)</f>
        <v>339.45999999999998</v>
      </c>
      <c r="AH47" s="20">
        <f>AVERAGE(C47:AE47)</f>
        <v>339.45999999999998</v>
      </c>
      <c r="AI47" s="20" t="e">
        <f>AVERAGE(Q47:AE47)</f>
        <v>#NUM!</v>
      </c>
      <c r="AJ47" s="21" t="e">
        <f>(AI47/AH47)-1</f>
        <v>#NUM!</v>
      </c>
      <c r="AK47" s="21" t="e">
        <f>(AI47/AF47)-1</f>
        <v>#NUM!</v>
      </c>
      <c r="AL47" s="21">
        <f>(AG47/AF47)-1</f>
        <v>0</v>
      </c>
    </row>
    <row r="48" ht="18">
      <c r="A48" s="2" t="s">
        <v>142</v>
      </c>
      <c r="B48" s="3" t="s">
        <v>144</v>
      </c>
      <c r="C48" s="16"/>
      <c r="D48" s="16"/>
      <c r="E48" s="16"/>
      <c r="F48" s="16"/>
      <c r="G48" s="24">
        <v>378.99000000000001</v>
      </c>
      <c r="H48" s="16">
        <v>378.99000000000001</v>
      </c>
      <c r="I48" s="16">
        <v>378.99000000000001</v>
      </c>
      <c r="J48" s="16">
        <v>378.99000000000001</v>
      </c>
      <c r="K48" s="16">
        <v>378.99000000000001</v>
      </c>
      <c r="L48" s="16">
        <v>378.99000000000001</v>
      </c>
      <c r="M48" s="16">
        <v>378.99000000000001</v>
      </c>
      <c r="N48" s="16">
        <v>378.99000000000001</v>
      </c>
      <c r="O48" s="16">
        <v>378.99000000000001</v>
      </c>
      <c r="P48" s="16">
        <v>378.99000000000001</v>
      </c>
      <c r="Q48" s="16">
        <v>378.99000000000001</v>
      </c>
      <c r="R48" s="16">
        <v>378.99000000000001</v>
      </c>
      <c r="S48" s="16">
        <v>378.99000000000001</v>
      </c>
      <c r="T48" s="16">
        <v>378.99000000000001</v>
      </c>
      <c r="U48" s="16">
        <v>378.99000000000001</v>
      </c>
      <c r="V48" s="16">
        <v>378.99000000000001</v>
      </c>
      <c r="W48" s="16">
        <v>378.99000000000001</v>
      </c>
      <c r="X48" s="16">
        <v>378.99000000000001</v>
      </c>
      <c r="Y48" s="16">
        <v>378.99000000000001</v>
      </c>
      <c r="Z48" s="16">
        <v>378.99000000000001</v>
      </c>
      <c r="AA48" s="16">
        <v>378.99000000000001</v>
      </c>
      <c r="AB48" s="16">
        <v>378.99000000000001</v>
      </c>
      <c r="AC48" s="16">
        <v>378.99000000000001</v>
      </c>
      <c r="AD48" s="16">
        <v>378.99000000000001</v>
      </c>
      <c r="AE48" s="16">
        <v>378.99000000000001</v>
      </c>
      <c r="AF48" s="19">
        <f>MIN(C48:AE48)</f>
        <v>378.99000000000001</v>
      </c>
      <c r="AG48" s="20">
        <f>MAX(C48:AE48)</f>
        <v>378.99000000000001</v>
      </c>
      <c r="AH48" s="20">
        <f>AVERAGE(C48:AE48)</f>
        <v>378.98999999999984</v>
      </c>
      <c r="AI48" s="20">
        <f>AVERAGE(Q48:AE48)</f>
        <v>378.9899999999999</v>
      </c>
      <c r="AJ48" s="21">
        <f>(AI48/AH48)-1</f>
        <v>2.2204460492503131e-016</v>
      </c>
      <c r="AK48" s="21">
        <f>(AI48/AF48)-1</f>
        <v>-3.3306690738754696e-016</v>
      </c>
      <c r="AL48" s="21">
        <f>(AG48/AF48)-1</f>
        <v>0</v>
      </c>
      <c r="AM48" s="22" t="s">
        <v>145</v>
      </c>
    </row>
    <row r="49" ht="18">
      <c r="A49" s="25" t="s">
        <v>146</v>
      </c>
      <c r="B49" s="26" t="s">
        <v>147</v>
      </c>
      <c r="C49" s="28"/>
      <c r="D49" s="28"/>
      <c r="E49" s="28"/>
      <c r="F49" s="28"/>
      <c r="G49" s="28">
        <v>88.329999999999998</v>
      </c>
      <c r="H49" s="28">
        <v>88.329999999999998</v>
      </c>
      <c r="I49" s="28">
        <v>88.329999999999998</v>
      </c>
      <c r="J49" s="28">
        <v>88.329999999999998</v>
      </c>
      <c r="K49" s="28">
        <v>88.329999999999998</v>
      </c>
      <c r="L49" s="28">
        <v>88.329999999999998</v>
      </c>
      <c r="M49" s="28">
        <v>88.329999999999998</v>
      </c>
      <c r="N49" s="28">
        <v>88.329999999999998</v>
      </c>
      <c r="O49" s="28">
        <v>88.329999999999998</v>
      </c>
      <c r="P49" s="16">
        <v>88.329999999999998</v>
      </c>
      <c r="Q49" s="17">
        <v>118.58</v>
      </c>
      <c r="R49" s="17">
        <v>118.58</v>
      </c>
      <c r="S49" s="17">
        <v>118.58</v>
      </c>
      <c r="T49" s="17">
        <v>117.58</v>
      </c>
      <c r="U49" s="17">
        <v>117.58</v>
      </c>
      <c r="V49" s="17">
        <v>119.59</v>
      </c>
      <c r="W49" s="18">
        <v>128.36000000000001</v>
      </c>
      <c r="X49" s="18">
        <v>128.36000000000001</v>
      </c>
      <c r="Y49" s="30">
        <v>191.19</v>
      </c>
      <c r="Z49" s="30">
        <v>191.19</v>
      </c>
      <c r="AA49" s="30">
        <v>191.19</v>
      </c>
      <c r="AB49" s="30">
        <v>181.09999999999999</v>
      </c>
      <c r="AC49" s="30">
        <v>181.09999999999999</v>
      </c>
      <c r="AD49" s="30">
        <v>173.03999999999999</v>
      </c>
      <c r="AE49" s="30">
        <v>173.03999999999999</v>
      </c>
      <c r="AF49" s="19">
        <f>MIN(C49:AE49)</f>
        <v>88.329999999999998</v>
      </c>
      <c r="AG49" s="20">
        <f>MAX(C49:AE49)</f>
        <v>191.19</v>
      </c>
      <c r="AH49" s="20">
        <f>AVERAGE(C49:AE49)</f>
        <v>125.29440000000001</v>
      </c>
      <c r="AI49" s="20">
        <f>AVERAGE(Q49:AE49)</f>
        <v>149.93733333333333</v>
      </c>
      <c r="AJ49" s="21">
        <f>(AI49/AH49)-1</f>
        <v>0.19668024535281159</v>
      </c>
      <c r="AK49" s="21">
        <f>(AI49/AF49)-1</f>
        <v>0.69746782897467829</v>
      </c>
      <c r="AL49" s="21">
        <f>(AG49/AF49)-1</f>
        <v>1.1644967734631497</v>
      </c>
      <c r="AM49" s="22" t="s">
        <v>148</v>
      </c>
    </row>
    <row r="50" ht="18">
      <c r="A50" s="2" t="s">
        <v>149</v>
      </c>
      <c r="B50" s="3" t="s">
        <v>150</v>
      </c>
      <c r="C50" s="16"/>
      <c r="D50" s="16">
        <v>39.950000000000003</v>
      </c>
      <c r="E50" s="16"/>
      <c r="F50" s="16"/>
      <c r="G50" s="16">
        <v>39.950000000000003</v>
      </c>
      <c r="H50" s="24">
        <v>29.989999999999998</v>
      </c>
      <c r="I50" s="16">
        <v>32.990000000000002</v>
      </c>
      <c r="J50" s="16">
        <v>39.990000000000002</v>
      </c>
      <c r="K50" s="16">
        <v>39.990000000000002</v>
      </c>
      <c r="L50" s="16">
        <v>39.990000000000002</v>
      </c>
      <c r="M50" s="16">
        <v>36.990000000000002</v>
      </c>
      <c r="N50" s="16">
        <v>34.5</v>
      </c>
      <c r="O50" s="16">
        <v>34.5</v>
      </c>
      <c r="P50" s="16">
        <v>32.5</v>
      </c>
      <c r="Q50" s="16">
        <v>29.989999999999998</v>
      </c>
      <c r="R50" s="16">
        <v>29.989999999999998</v>
      </c>
      <c r="S50" s="16">
        <v>44.979999999999997</v>
      </c>
      <c r="T50" s="16">
        <v>44.979999999999997</v>
      </c>
      <c r="U50" s="16">
        <v>39.990000000000002</v>
      </c>
      <c r="V50" s="33">
        <v>32.990000000000002</v>
      </c>
      <c r="W50" s="33">
        <v>32.990000000000002</v>
      </c>
      <c r="X50" s="35">
        <v>34.759999999999998</v>
      </c>
      <c r="Y50" s="35">
        <v>40.039999999999999</v>
      </c>
      <c r="Z50" s="35">
        <v>39.899999999999999</v>
      </c>
      <c r="AA50" s="35">
        <v>39.899999999999999</v>
      </c>
      <c r="AB50" s="35">
        <v>36.170000000000002</v>
      </c>
      <c r="AC50" s="33">
        <v>29.149999999999999</v>
      </c>
      <c r="AD50" s="35">
        <v>32.460000000000001</v>
      </c>
      <c r="AE50" s="35">
        <v>36.189999999999998</v>
      </c>
      <c r="AF50" s="19">
        <f>MIN(C50:AE50)</f>
        <v>29.149999999999999</v>
      </c>
      <c r="AG50" s="20">
        <f>MAX(C50:AE50)</f>
        <v>44.979999999999997</v>
      </c>
      <c r="AH50" s="20">
        <f>AVERAGE(C50:AE50)</f>
        <v>36.377692307692307</v>
      </c>
      <c r="AI50" s="20">
        <f>AVERAGE(Q50:AE50)</f>
        <v>36.298666666666669</v>
      </c>
      <c r="AJ50" s="21">
        <f>(AI50/AH50)-1</f>
        <v>-2.1723654254155456e-003</v>
      </c>
      <c r="AK50" s="21">
        <f>(AI50/AF50)-1</f>
        <v>0.24523727844482579</v>
      </c>
      <c r="AL50" s="21">
        <f>(AG50/AF50)-1</f>
        <v>0.54305317324185243</v>
      </c>
      <c r="AM50" s="22" t="s">
        <v>151</v>
      </c>
    </row>
    <row r="51" ht="18">
      <c r="A51" s="2" t="s">
        <v>152</v>
      </c>
      <c r="B51" s="3" t="s">
        <v>153</v>
      </c>
      <c r="C51" s="16"/>
      <c r="D51" s="16">
        <v>31.989999999999998</v>
      </c>
      <c r="E51" s="16"/>
      <c r="F51" s="16"/>
      <c r="G51" s="33">
        <v>27.489999999999998</v>
      </c>
      <c r="H51" s="16">
        <v>29.989999999999998</v>
      </c>
      <c r="I51" s="16">
        <v>35.990000000000002</v>
      </c>
      <c r="J51" s="33">
        <v>25.989999999999998</v>
      </c>
      <c r="K51" s="33">
        <v>25.989999999999998</v>
      </c>
      <c r="L51" s="33">
        <v>25.989999999999998</v>
      </c>
      <c r="M51" s="33">
        <v>25.989999999999998</v>
      </c>
      <c r="N51" s="17">
        <v>36.43</v>
      </c>
      <c r="O51" s="18">
        <v>42</v>
      </c>
      <c r="P51" s="17">
        <v>36.369999999999997</v>
      </c>
      <c r="Q51" s="17">
        <v>35.119999999999997</v>
      </c>
      <c r="R51" s="17">
        <v>36.409999999999997</v>
      </c>
      <c r="S51" s="17">
        <v>36.530000000000001</v>
      </c>
      <c r="T51" s="33">
        <v>27.989999999999998</v>
      </c>
      <c r="U51" s="33">
        <v>27.989999999999998</v>
      </c>
      <c r="V51" s="35">
        <v>30.989999999999998</v>
      </c>
      <c r="W51" s="35">
        <v>30.989999999999998</v>
      </c>
      <c r="X51" s="34">
        <v>36.530000000000001</v>
      </c>
      <c r="Y51" s="35">
        <v>30.989999999999998</v>
      </c>
      <c r="Z51" s="35">
        <v>30.989999999999998</v>
      </c>
      <c r="AA51" s="35">
        <v>30.989999999999998</v>
      </c>
      <c r="AB51" s="34">
        <v>36.100000000000001</v>
      </c>
      <c r="AC51" s="34">
        <v>36.100000000000001</v>
      </c>
      <c r="AD51" s="34">
        <v>36.140000000000001</v>
      </c>
      <c r="AE51" s="35">
        <v>30.989999999999998</v>
      </c>
      <c r="AF51" s="19">
        <f>MIN(C51:AE51)</f>
        <v>25.989999999999998</v>
      </c>
      <c r="AG51" s="20">
        <f>MAX(C51:AE51)</f>
        <v>42</v>
      </c>
      <c r="AH51" s="20">
        <f>AVERAGE(C51:AE51)</f>
        <v>32.27192307692308</v>
      </c>
      <c r="AI51" s="20">
        <f>AVERAGE(Q51:AE51)</f>
        <v>32.990000000000009</v>
      </c>
      <c r="AJ51" s="21">
        <f>(AI51/AH51)-1</f>
        <v>2.2250825318507639e-002</v>
      </c>
      <c r="AK51" s="21">
        <f>(AI51/AF51)-1</f>
        <v>0.26933435936898853</v>
      </c>
      <c r="AL51" s="21">
        <f>(AG51/AF51)-1</f>
        <v>0.61600615621392851</v>
      </c>
      <c r="AM51" s="22" t="s">
        <v>154</v>
      </c>
    </row>
    <row r="52" ht="18">
      <c r="A52" s="2" t="s">
        <v>155</v>
      </c>
      <c r="B52" s="3" t="s">
        <v>156</v>
      </c>
      <c r="C52" s="16"/>
      <c r="D52" s="16">
        <v>43.990000000000002</v>
      </c>
      <c r="E52" s="16"/>
      <c r="F52" s="16"/>
      <c r="G52" s="16">
        <v>22.989999999999998</v>
      </c>
      <c r="H52" s="24">
        <v>21.690000000000001</v>
      </c>
      <c r="I52" s="16">
        <v>21.690000000000001</v>
      </c>
      <c r="J52" s="16">
        <v>36.170000000000002</v>
      </c>
      <c r="K52" s="16">
        <v>42.020000000000003</v>
      </c>
      <c r="L52" s="16">
        <v>39.799999999999997</v>
      </c>
      <c r="M52" s="16">
        <v>36.759999999999998</v>
      </c>
      <c r="N52" s="16">
        <v>24.899999999999999</v>
      </c>
      <c r="O52" s="16">
        <v>22.899999999999999</v>
      </c>
      <c r="P52" s="16">
        <v>22.899999999999999</v>
      </c>
      <c r="Q52" s="16">
        <v>34.689999999999998</v>
      </c>
      <c r="R52" s="16">
        <v>34.689999999999998</v>
      </c>
      <c r="S52" s="16">
        <v>24.899999999999999</v>
      </c>
      <c r="T52" s="16">
        <v>24.899999999999999</v>
      </c>
      <c r="U52" s="16">
        <v>24.899999999999999</v>
      </c>
      <c r="V52" s="33">
        <v>21.690000000000001</v>
      </c>
      <c r="W52" s="35">
        <v>28.899999999999999</v>
      </c>
      <c r="X52" s="35">
        <v>28.899999999999999</v>
      </c>
      <c r="Y52" s="35">
        <v>28.899999999999999</v>
      </c>
      <c r="Z52" s="35">
        <v>28.899999999999999</v>
      </c>
      <c r="AA52" s="35">
        <v>24.899999999999999</v>
      </c>
      <c r="AB52" s="35">
        <v>24.899999999999999</v>
      </c>
      <c r="AC52" s="35">
        <v>24.899999999999999</v>
      </c>
      <c r="AD52" s="32">
        <v>34.719999999999999</v>
      </c>
      <c r="AE52" s="32">
        <v>34.719999999999999</v>
      </c>
      <c r="AF52" s="19">
        <f>MIN(C52:AE52)</f>
        <v>21.690000000000001</v>
      </c>
      <c r="AG52" s="20">
        <f>MAX(C52:AE52)</f>
        <v>43.990000000000002</v>
      </c>
      <c r="AH52" s="20">
        <f>AVERAGE(C52:AE52)</f>
        <v>29.281538461538453</v>
      </c>
      <c r="AI52" s="20">
        <f>AVERAGE(Q52:AE52)</f>
        <v>28.367333333333331</v>
      </c>
      <c r="AJ52" s="21">
        <f>(AI52/AH52)-1</f>
        <v>-3.122121228042507e-002</v>
      </c>
      <c r="AK52" s="21">
        <f>(AI52/AF52)-1</f>
        <v>0.30785308129706457</v>
      </c>
      <c r="AL52" s="21">
        <f>(AG52/AF52)-1</f>
        <v>1.0281235592438911</v>
      </c>
      <c r="AM52" s="22" t="s">
        <v>157</v>
      </c>
    </row>
    <row r="53" ht="54">
      <c r="A53" s="2" t="s">
        <v>98</v>
      </c>
      <c r="B53" s="3" t="s">
        <v>158</v>
      </c>
      <c r="C53" s="16"/>
      <c r="D53" s="16"/>
      <c r="E53" s="16"/>
      <c r="F53" s="16">
        <v>1714.0799999999999</v>
      </c>
      <c r="G53" s="16">
        <v>1714.0799999999999</v>
      </c>
      <c r="H53" s="16">
        <v>1714.0799999999999</v>
      </c>
      <c r="I53" s="16">
        <v>1714.0799999999999</v>
      </c>
      <c r="J53" s="16">
        <v>1714.0799999999999</v>
      </c>
      <c r="K53" s="16" t="s">
        <v>50</v>
      </c>
      <c r="L53" s="16" t="s">
        <v>50</v>
      </c>
      <c r="M53" s="24">
        <v>1449.28</v>
      </c>
      <c r="N53" s="17">
        <v>1820.77</v>
      </c>
      <c r="O53" s="17">
        <v>1820.77</v>
      </c>
      <c r="P53" s="17">
        <v>1820.77</v>
      </c>
      <c r="Q53" s="17">
        <v>1820.77</v>
      </c>
      <c r="R53" s="16">
        <v>1669.97</v>
      </c>
      <c r="S53" s="16">
        <v>1669.76</v>
      </c>
      <c r="T53" s="16">
        <v>1669.76</v>
      </c>
      <c r="U53" s="16">
        <v>1611.6900000000001</v>
      </c>
      <c r="V53" s="16">
        <v>1611.4100000000001</v>
      </c>
      <c r="W53" s="16">
        <v>1611.4100000000001</v>
      </c>
      <c r="X53" s="16">
        <v>1611.4100000000001</v>
      </c>
      <c r="Y53" s="17">
        <v>1820.77</v>
      </c>
      <c r="Z53" s="17">
        <v>1820.77</v>
      </c>
      <c r="AA53" s="17">
        <v>1820.77</v>
      </c>
      <c r="AB53" s="17">
        <v>1820.8099999999999</v>
      </c>
      <c r="AC53" s="17">
        <v>1820.8099999999999</v>
      </c>
      <c r="AD53" s="30">
        <v>2407.79</v>
      </c>
      <c r="AE53" s="30">
        <v>2407.79</v>
      </c>
      <c r="AF53" s="19">
        <f>MIN(C53:AE53)</f>
        <v>1449.28</v>
      </c>
      <c r="AG53" s="20">
        <f>MAX(C53:AE53)</f>
        <v>2407.79</v>
      </c>
      <c r="AH53" s="20">
        <f>AVERAGE(C53:AE53)</f>
        <v>1778.2366666666665</v>
      </c>
      <c r="AI53" s="20">
        <f>AVERAGE(Q53:AE53)</f>
        <v>1813.0460000000005</v>
      </c>
      <c r="AJ53" s="21">
        <f>(AI53/AH53)-1</f>
        <v>1.9575197152235546e-002</v>
      </c>
      <c r="AK53" s="21">
        <f>(AI53/AF53)-1</f>
        <v>0.25099773680724269</v>
      </c>
      <c r="AL53" s="21">
        <f>(AG53/AF53)-1</f>
        <v>0.66136978361669252</v>
      </c>
      <c r="AM53" s="1" t="s">
        <v>159</v>
      </c>
    </row>
    <row r="54" ht="18">
      <c r="A54" s="25" t="s">
        <v>160</v>
      </c>
      <c r="B54" s="26" t="s">
        <v>161</v>
      </c>
      <c r="C54" s="28"/>
      <c r="D54" s="28"/>
      <c r="E54" s="28"/>
      <c r="F54" s="28"/>
      <c r="G54" s="28">
        <v>33.890000000000001</v>
      </c>
      <c r="H54" s="28">
        <v>33.890000000000001</v>
      </c>
      <c r="I54" s="28">
        <v>33.890000000000001</v>
      </c>
      <c r="J54" s="28">
        <v>33.890000000000001</v>
      </c>
      <c r="K54" s="28">
        <v>33.890000000000001</v>
      </c>
      <c r="L54" s="28">
        <v>38.039999999999999</v>
      </c>
      <c r="M54" s="28">
        <v>38.369999999999997</v>
      </c>
      <c r="N54" s="28">
        <v>38.369999999999997</v>
      </c>
      <c r="O54" s="28">
        <v>38.369999999999997</v>
      </c>
      <c r="P54" s="16">
        <v>38.369999999999997</v>
      </c>
      <c r="Q54" s="16">
        <v>38.369999999999997</v>
      </c>
      <c r="R54" s="16">
        <v>39.390000000000001</v>
      </c>
      <c r="S54" s="16">
        <v>39.390000000000001</v>
      </c>
      <c r="T54" s="16">
        <v>43.210000000000001</v>
      </c>
      <c r="U54" s="16">
        <v>39.899999999999999</v>
      </c>
      <c r="V54" s="33">
        <v>31.989999999999998</v>
      </c>
      <c r="W54" s="33">
        <v>30.989999999999998</v>
      </c>
      <c r="X54" s="35">
        <v>39.899999999999999</v>
      </c>
      <c r="Y54" s="35">
        <v>43.990000000000002</v>
      </c>
      <c r="Z54" s="35">
        <v>36.990000000000002</v>
      </c>
      <c r="AA54" s="35">
        <v>36.990000000000002</v>
      </c>
      <c r="AB54" s="35">
        <v>36.990000000000002</v>
      </c>
      <c r="AC54" s="35">
        <v>36.990000000000002</v>
      </c>
      <c r="AD54" s="35">
        <v>36.990000000000002</v>
      </c>
      <c r="AE54" s="35">
        <v>36.990000000000002</v>
      </c>
      <c r="AF54" s="19">
        <f>MIN(C54:AE54)</f>
        <v>30.989999999999998</v>
      </c>
      <c r="AG54" s="20">
        <f>MAX(C54:AE54)</f>
        <v>43.990000000000002</v>
      </c>
      <c r="AH54" s="20">
        <f>AVERAGE(C54:AE54)</f>
        <v>37.201599999999999</v>
      </c>
      <c r="AI54" s="20">
        <f>AVERAGE(Q54:AE54)</f>
        <v>37.938000000000002</v>
      </c>
      <c r="AJ54" s="21">
        <f>(AI54/AH54)-1</f>
        <v>1.9794847533439519e-002</v>
      </c>
      <c r="AK54" s="21">
        <f>(AI54/AF54)-1</f>
        <v>0.22420135527589569</v>
      </c>
      <c r="AL54" s="21">
        <f>(AG54/AF54)-1</f>
        <v>0.41949015811552126</v>
      </c>
      <c r="AM54" s="22" t="s">
        <v>162</v>
      </c>
    </row>
    <row r="55" ht="18">
      <c r="A55" s="2" t="s">
        <v>163</v>
      </c>
      <c r="B55" s="3" t="s">
        <v>164</v>
      </c>
      <c r="C55" s="16"/>
      <c r="D55" s="16"/>
      <c r="E55" s="16"/>
      <c r="F55" s="16"/>
      <c r="G55" s="16">
        <v>90.739999999999995</v>
      </c>
      <c r="H55" s="16">
        <v>90.739999999999995</v>
      </c>
      <c r="I55" s="24">
        <v>89.950000000000003</v>
      </c>
      <c r="J55" s="24">
        <v>89.950000000000003</v>
      </c>
      <c r="K55" s="24">
        <v>89.950000000000003</v>
      </c>
      <c r="L55" s="16">
        <v>93.280000000000001</v>
      </c>
      <c r="M55" s="16">
        <v>92.060000000000002</v>
      </c>
      <c r="N55" s="17">
        <v>88.049999999999997</v>
      </c>
      <c r="O55" s="17">
        <v>89.950000000000003</v>
      </c>
      <c r="P55" s="17">
        <v>89.950000000000003</v>
      </c>
      <c r="Q55" s="16">
        <v>81.689999999999998</v>
      </c>
      <c r="R55" s="16">
        <v>84.900000000000006</v>
      </c>
      <c r="S55" s="17">
        <v>89.950000000000003</v>
      </c>
      <c r="T55" s="17">
        <v>89.650000000000006</v>
      </c>
      <c r="U55" s="16">
        <v>84.900000000000006</v>
      </c>
      <c r="V55" s="16">
        <v>83.079999999999998</v>
      </c>
      <c r="W55" s="16">
        <v>84.099999999999994</v>
      </c>
      <c r="X55" s="16">
        <v>84.680000000000007</v>
      </c>
      <c r="Y55" s="16">
        <v>85.209999999999994</v>
      </c>
      <c r="Z55" s="16">
        <v>85.209999999999994</v>
      </c>
      <c r="AA55" s="16">
        <v>85.150000000000006</v>
      </c>
      <c r="AB55" s="16">
        <v>85.040000000000006</v>
      </c>
      <c r="AC55" s="17">
        <v>109.84999999999999</v>
      </c>
      <c r="AD55" s="16">
        <v>89.950000000000003</v>
      </c>
      <c r="AE55" s="16">
        <v>89.950000000000003</v>
      </c>
      <c r="AF55" s="19">
        <f>MIN(C55:AE55)</f>
        <v>81.689999999999998</v>
      </c>
      <c r="AG55" s="20">
        <f>MAX(C55:AE55)</f>
        <v>109.84999999999999</v>
      </c>
      <c r="AH55" s="20">
        <f>AVERAGE(C55:AE55)</f>
        <v>88.717200000000005</v>
      </c>
      <c r="AI55" s="20">
        <f>AVERAGE(Q55:AE55)</f>
        <v>87.554000000000016</v>
      </c>
      <c r="AJ55" s="21">
        <f>(AI55/AH55)-1</f>
        <v>-1.3111324523316648e-002</v>
      </c>
      <c r="AK55" s="21">
        <f>(AI55/AF55)-1</f>
        <v>7.1783572040641674e-002</v>
      </c>
      <c r="AL55" s="21">
        <f>(AG55/AF55)-1</f>
        <v>0.34471783572040637</v>
      </c>
      <c r="AM55" s="1" t="s">
        <v>165</v>
      </c>
    </row>
    <row r="56" ht="18">
      <c r="A56" s="2" t="s">
        <v>166</v>
      </c>
      <c r="B56" s="3" t="s">
        <v>167</v>
      </c>
      <c r="C56" s="16"/>
      <c r="D56" s="16"/>
      <c r="E56" s="16"/>
      <c r="F56" s="16">
        <v>309.05000000000001</v>
      </c>
      <c r="G56" s="16">
        <v>309.05000000000001</v>
      </c>
      <c r="H56" s="16">
        <v>309.05000000000001</v>
      </c>
      <c r="I56" s="16">
        <v>309.05000000000001</v>
      </c>
      <c r="J56" s="16">
        <v>309.05000000000001</v>
      </c>
      <c r="K56" s="16">
        <v>309.05000000000001</v>
      </c>
      <c r="L56" s="16">
        <v>309.05000000000001</v>
      </c>
      <c r="M56" s="16">
        <v>309.05000000000001</v>
      </c>
      <c r="N56" s="16">
        <v>309.05000000000001</v>
      </c>
      <c r="O56" s="16">
        <v>309.05000000000001</v>
      </c>
      <c r="P56" s="16">
        <v>309.05000000000001</v>
      </c>
      <c r="Q56" s="16">
        <v>309.05000000000001</v>
      </c>
      <c r="R56" s="16">
        <v>309.05000000000001</v>
      </c>
      <c r="S56" s="16">
        <v>309.05000000000001</v>
      </c>
      <c r="T56" s="16">
        <v>309.05000000000001</v>
      </c>
      <c r="U56" s="16">
        <v>309.05000000000001</v>
      </c>
      <c r="V56" s="16">
        <v>309.05000000000001</v>
      </c>
      <c r="W56" s="33">
        <v>298.80000000000001</v>
      </c>
      <c r="X56" s="33">
        <v>298.80000000000001</v>
      </c>
      <c r="Y56" s="33">
        <v>298.80000000000001</v>
      </c>
      <c r="Z56" s="33">
        <v>298.80000000000001</v>
      </c>
      <c r="AA56" s="33">
        <v>298.80000000000001</v>
      </c>
      <c r="AB56" s="33">
        <v>298.80000000000001</v>
      </c>
      <c r="AC56" s="33">
        <v>298.80000000000001</v>
      </c>
      <c r="AD56" s="33">
        <v>298.80000000000001</v>
      </c>
      <c r="AE56" s="35">
        <v>309.05000000000001</v>
      </c>
      <c r="AF56" s="19">
        <f>MIN(C56:AE56)</f>
        <v>298.80000000000001</v>
      </c>
      <c r="AG56" s="20">
        <f>MAX(C56:AE56)</f>
        <v>309.05000000000001</v>
      </c>
      <c r="AH56" s="20">
        <f>AVERAGE(C56:AE56)</f>
        <v>305.89615384615394</v>
      </c>
      <c r="AI56" s="20">
        <f>AVERAGE(Q56:AE56)</f>
        <v>303.58333333333337</v>
      </c>
      <c r="AJ56" s="21">
        <f>(AI56/AH56)-1</f>
        <v>-7.5608028533230565e-003</v>
      </c>
      <c r="AK56" s="21">
        <f>(AI56/AF56)-1</f>
        <v>1.6008478357875999e-002</v>
      </c>
      <c r="AL56" s="21">
        <f>(AG56/AF56)-1</f>
        <v>3.4303882195448443e-002</v>
      </c>
      <c r="AM56" s="22" t="s">
        <v>168</v>
      </c>
    </row>
    <row r="57" ht="18">
      <c r="A57" s="2" t="s">
        <v>129</v>
      </c>
      <c r="B57" s="3" t="s">
        <v>169</v>
      </c>
      <c r="C57" s="16"/>
      <c r="D57" s="16"/>
      <c r="E57" s="16"/>
      <c r="F57" s="16"/>
      <c r="G57" s="16">
        <v>108.98999999999999</v>
      </c>
      <c r="H57" s="16">
        <v>108.98999999999999</v>
      </c>
      <c r="I57" s="16">
        <v>108.98999999999999</v>
      </c>
      <c r="J57" s="16">
        <v>108.98999999999999</v>
      </c>
      <c r="K57" s="16">
        <v>108.98999999999999</v>
      </c>
      <c r="L57" s="16">
        <v>108.98999999999999</v>
      </c>
      <c r="M57" s="16">
        <v>108.98999999999999</v>
      </c>
      <c r="N57" s="16">
        <v>108.98999999999999</v>
      </c>
      <c r="O57" s="16">
        <v>108.98999999999999</v>
      </c>
      <c r="P57" s="16">
        <v>108.98999999999999</v>
      </c>
      <c r="Q57" s="16">
        <v>108.98999999999999</v>
      </c>
      <c r="R57" s="16">
        <v>108.98999999999999</v>
      </c>
      <c r="S57" s="16">
        <v>108.98999999999999</v>
      </c>
      <c r="T57" s="16">
        <v>108.98999999999999</v>
      </c>
      <c r="U57" s="16">
        <v>108.98999999999999</v>
      </c>
      <c r="V57" s="16">
        <v>108.98999999999999</v>
      </c>
      <c r="W57" s="16">
        <v>108.98999999999999</v>
      </c>
      <c r="X57" s="16">
        <v>108.98999999999999</v>
      </c>
      <c r="Y57" s="24">
        <v>100.44</v>
      </c>
      <c r="Z57" s="24">
        <v>100.44</v>
      </c>
      <c r="AA57" s="24">
        <v>100.44</v>
      </c>
      <c r="AB57" s="24">
        <v>100.44</v>
      </c>
      <c r="AC57" s="16">
        <v>108.98999999999999</v>
      </c>
      <c r="AD57" s="16">
        <v>108.98999999999999</v>
      </c>
      <c r="AE57" s="24">
        <v>100.44</v>
      </c>
      <c r="AF57" s="19">
        <f>MIN(C57:AE57)</f>
        <v>100.44</v>
      </c>
      <c r="AG57" s="20">
        <f>MAX(C57:AE57)</f>
        <v>108.98999999999999</v>
      </c>
      <c r="AH57" s="20">
        <f>AVERAGE(C57:AE57)</f>
        <v>107.27999999999999</v>
      </c>
      <c r="AI57" s="20">
        <f>AVERAGE(Q57:AE57)</f>
        <v>106.14000000000001</v>
      </c>
      <c r="AJ57" s="21">
        <f>(AI57/AH57)-1</f>
        <v>-1.0626398210290544e-002</v>
      </c>
      <c r="AK57" s="21">
        <f>(AI57/AF57)-1</f>
        <v>5.675029868578263e-002</v>
      </c>
      <c r="AL57" s="21">
        <f>(AG57/AF57)-1</f>
        <v>8.5125448028673834e-002</v>
      </c>
      <c r="AM57" s="37" t="s">
        <v>170</v>
      </c>
    </row>
    <row r="58" ht="18">
      <c r="B58" s="3" t="s">
        <v>171</v>
      </c>
      <c r="O58" s="16">
        <v>1.49</v>
      </c>
      <c r="P58" s="16">
        <v>1.49</v>
      </c>
      <c r="Q58" s="16">
        <v>1.49</v>
      </c>
      <c r="R58" s="16">
        <v>1.49</v>
      </c>
      <c r="S58" s="16">
        <v>1.49</v>
      </c>
      <c r="T58" s="16">
        <v>1.99</v>
      </c>
      <c r="U58" s="16">
        <v>1.99</v>
      </c>
      <c r="V58" s="16">
        <v>1.99</v>
      </c>
      <c r="W58" s="16">
        <v>1.99</v>
      </c>
      <c r="X58" s="16">
        <v>1.99</v>
      </c>
      <c r="Y58" s="16">
        <v>1.99</v>
      </c>
      <c r="Z58" s="16">
        <v>1.99</v>
      </c>
      <c r="AA58" s="16">
        <v>1.99</v>
      </c>
      <c r="AB58" s="16">
        <v>1.99</v>
      </c>
      <c r="AC58" s="16">
        <v>1.99</v>
      </c>
      <c r="AD58" s="16">
        <v>1.99</v>
      </c>
      <c r="AE58" s="16">
        <v>1.99</v>
      </c>
      <c r="AF58" s="19">
        <f>MIN(C58:AE58)</f>
        <v>1.49</v>
      </c>
      <c r="AG58" s="20">
        <f>MAX(C58:AE58)</f>
        <v>1.99</v>
      </c>
      <c r="AH58" s="20">
        <f>AVERAGE(C58:AE58)</f>
        <v>1.8429411764705874</v>
      </c>
      <c r="AI58" s="20">
        <f>AVERAGE(Q58:AE58)</f>
        <v>1.8899999999999995</v>
      </c>
      <c r="AJ58" s="21">
        <f>(AI58/AH58)-1</f>
        <v>2.5534631343760106e-002</v>
      </c>
      <c r="AK58" s="21">
        <f>(AI58/AF58)-1</f>
        <v>0.26845637583892579</v>
      </c>
      <c r="AL58" s="21">
        <f>(AG58/AF58)-1</f>
        <v>0.33557046979865768</v>
      </c>
    </row>
    <row r="59" ht="14.25">
      <c r="AA59" s="1"/>
      <c r="AB59" s="1"/>
      <c r="AC59" s="1"/>
      <c r="AD59" s="1"/>
      <c r="AE59" s="1"/>
      <c r="AF59" s="2"/>
      <c r="AG59" s="2"/>
      <c r="AH59" s="2"/>
      <c r="AI59" s="2"/>
      <c r="AJ59" s="2"/>
      <c r="AK59" s="2"/>
      <c r="AL59" s="2"/>
    </row>
    <row r="60" ht="14.25">
      <c r="AA60" s="1"/>
      <c r="AB60" s="1"/>
      <c r="AC60" s="1"/>
      <c r="AD60" s="1"/>
      <c r="AE60" s="1"/>
      <c r="AF60" s="2"/>
      <c r="AG60" s="2"/>
      <c r="AH60" s="2"/>
      <c r="AI60" s="2"/>
      <c r="AJ60" s="2"/>
      <c r="AK60" s="2"/>
      <c r="AL60" s="2"/>
    </row>
    <row r="61" ht="14.25">
      <c r="AA61" s="1"/>
      <c r="AB61" s="1"/>
      <c r="AC61" s="1"/>
      <c r="AD61" s="1"/>
      <c r="AE61" s="1"/>
      <c r="AF61" s="2"/>
      <c r="AG61" s="2"/>
      <c r="AH61" s="2"/>
      <c r="AI61" s="2"/>
      <c r="AJ61" s="2"/>
      <c r="AK61" s="2"/>
      <c r="AL61" s="2"/>
    </row>
    <row r="62" ht="14.25">
      <c r="AA62" s="1"/>
      <c r="AB62" s="1"/>
      <c r="AC62" s="1"/>
      <c r="AD62" s="1"/>
      <c r="AE62" s="1"/>
      <c r="AF62" s="2"/>
      <c r="AG62" s="2"/>
      <c r="AH62" s="2"/>
      <c r="AI62" s="2"/>
      <c r="AJ62" s="2"/>
      <c r="AK62" s="2"/>
      <c r="AL62" s="2"/>
    </row>
  </sheetData>
  <mergeCells count="7">
    <mergeCell ref="AF1:AF2"/>
    <mergeCell ref="AG1:AG2"/>
    <mergeCell ref="AH1:AH2"/>
    <mergeCell ref="AI1:AI2"/>
    <mergeCell ref="AJ1:AJ2"/>
    <mergeCell ref="AK1:AK2"/>
    <mergeCell ref="AL1:AL2"/>
  </mergeCells>
  <hyperlinks>
    <hyperlink r:id="rId1" ref="AM4"/>
    <hyperlink r:id="rId2" ref="AM5"/>
    <hyperlink r:id="rId3" ref="AM6"/>
    <hyperlink r:id="rId4" ref="AM7"/>
    <hyperlink r:id="rId5" ref="AM8"/>
    <hyperlink r:id="rId6" ref="AM9"/>
    <hyperlink r:id="rId7" ref="AM10"/>
    <hyperlink r:id="rId8" ref="AM11"/>
    <hyperlink r:id="rId9" ref="AM12"/>
    <hyperlink r:id="rId10" ref="AM13"/>
    <hyperlink r:id="rId11" ref="AM14"/>
    <hyperlink r:id="rId12" ref="AM15"/>
    <hyperlink r:id="rId13" ref="AM16"/>
    <hyperlink r:id="rId14" ref="AM17"/>
    <hyperlink r:id="rId15" ref="AM18"/>
    <hyperlink r:id="rId16" ref="AM19"/>
    <hyperlink r:id="rId17" ref="AM20"/>
    <hyperlink r:id="rId18" ref="AM21"/>
    <hyperlink r:id="rId19" ref="AM22"/>
    <hyperlink r:id="rId20" ref="AM23"/>
    <hyperlink r:id="rId21" ref="AM24"/>
    <hyperlink r:id="rId22" ref="AM25"/>
    <hyperlink r:id="rId23" ref="AM26"/>
    <hyperlink r:id="rId24" ref="AM27"/>
    <hyperlink r:id="rId25" ref="AM28"/>
    <hyperlink r:id="rId26" ref="AM29"/>
    <hyperlink r:id="rId27" ref="AM30"/>
    <hyperlink r:id="rId28" ref="AM31"/>
    <hyperlink r:id="rId29" ref="AM32"/>
    <hyperlink r:id="rId30" ref="AM33"/>
    <hyperlink r:id="rId31" ref="AM34"/>
    <hyperlink r:id="rId32" ref="AM35"/>
    <hyperlink r:id="rId33" ref="AM36"/>
    <hyperlink r:id="rId34" ref="AM37"/>
    <hyperlink r:id="rId35" ref="AM38"/>
    <hyperlink r:id="rId36" ref="AM39"/>
    <hyperlink r:id="rId37" ref="AM40"/>
    <hyperlink r:id="rId38" ref="AM41"/>
    <hyperlink r:id="rId38" ref="AM42"/>
    <hyperlink r:id="rId38" ref="AM43"/>
    <hyperlink r:id="rId38" ref="AM44"/>
    <hyperlink r:id="rId38" ref="AM45"/>
    <hyperlink r:id="rId38" ref="AM46"/>
    <hyperlink r:id="rId39" ref="AM48"/>
    <hyperlink r:id="rId40" ref="AM49"/>
    <hyperlink r:id="rId41" ref="AM50"/>
    <hyperlink r:id="rId42" ref="AM51"/>
    <hyperlink r:id="rId43" ref="AM52"/>
    <hyperlink r:id="rId44" ref="AM54"/>
    <hyperlink r:id="rId45" ref="AM56"/>
    <hyperlink r:id="rId46" ref="AM57"/>
  </hyperlinks>
  <printOptions headings="0" gridLines="0"/>
  <pageMargins left="0.25196850393700787" right="0.25196850393700787" top="0.75196850393700787" bottom="0.75196850393700787" header="0.29999999999999999" footer="0.29999999999999999"/>
  <pageSetup paperSize="9" scale="28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30</cp:revision>
  <dcterms:modified xsi:type="dcterms:W3CDTF">2026-05-16T18:24:14Z</dcterms:modified>
</cp:coreProperties>
</file>